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hidePivotFieldList="1"/>
  <mc:AlternateContent xmlns:mc="http://schemas.openxmlformats.org/markup-compatibility/2006">
    <mc:Choice Requires="x15">
      <x15ac:absPath xmlns:x15ac="http://schemas.microsoft.com/office/spreadsheetml/2010/11/ac" url="C:\Users\badmu\Documents\"/>
    </mc:Choice>
  </mc:AlternateContent>
  <xr:revisionPtr revIDLastSave="0" documentId="13_ncr:1_{F563E1BF-F876-415B-A27B-A224BE8C21F2}" xr6:coauthVersionLast="40" xr6:coauthVersionMax="47" xr10:uidLastSave="{00000000-0000-0000-0000-000000000000}"/>
  <bookViews>
    <workbookView xWindow="-105" yWindow="-105" windowWidth="19425" windowHeight="10305" activeTab="1" xr2:uid="{90E8D19F-E883-4945-BED1-667432C943F6}"/>
  </bookViews>
  <sheets>
    <sheet name="Sheet2" sheetId="2" r:id="rId1"/>
    <sheet name="Sheet3" sheetId="3" r:id="rId2"/>
    <sheet name="Sheet1" sheetId="1" r:id="rId3"/>
    <sheet name="Sheet4" sheetId="4" r:id="rId4"/>
    <sheet name="Sheet5" sheetId="5" r:id="rId5"/>
  </sheets>
  <definedNames>
    <definedName name="_xlnm._FilterDatabase" localSheetId="2" hidden="1">Sheet1!$A$1:$Z$151</definedName>
    <definedName name="Slicer_Weekday">#N/A</definedName>
  </definedNames>
  <calcPr calcId="191029"/>
  <pivotCaches>
    <pivotCache cacheId="2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4" l="1"/>
  <c r="F3" i="4"/>
  <c r="K1" i="5"/>
  <c r="N7" i="4"/>
  <c r="N5" i="4"/>
  <c r="B151" i="1" l="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<sst xmlns="http://schemas.openxmlformats.org/spreadsheetml/2006/main" count="1607" uniqueCount="131">
  <si>
    <t>Date</t>
  </si>
  <si>
    <t>Weekday</t>
  </si>
  <si>
    <t>Bus ID</t>
  </si>
  <si>
    <t>Route Start</t>
  </si>
  <si>
    <t>Route End</t>
  </si>
  <si>
    <t>Route</t>
  </si>
  <si>
    <t>Estimated Travel Time</t>
  </si>
  <si>
    <t>Actual Arrival Time</t>
  </si>
  <si>
    <t>Distance (km)</t>
  </si>
  <si>
    <t>Number of Passengers</t>
  </si>
  <si>
    <t>Gender</t>
  </si>
  <si>
    <t>Fare per Passenger (NGN)</t>
  </si>
  <si>
    <t>Driver ID</t>
  </si>
  <si>
    <t>Bus Capacity</t>
  </si>
  <si>
    <t>Fuel Consumption (Liters)</t>
  </si>
  <si>
    <t>Price of fuel per litre</t>
  </si>
  <si>
    <t>Traffic Delay (minutes)</t>
  </si>
  <si>
    <t>Maintenance Issue</t>
  </si>
  <si>
    <t>Total Fare (NGN)</t>
  </si>
  <si>
    <t>Actual Fuel Cost</t>
  </si>
  <si>
    <t>Cost of Transportation</t>
  </si>
  <si>
    <t>Drivers allowance per Day</t>
  </si>
  <si>
    <t>Actual Cost of Transportation</t>
  </si>
  <si>
    <t>Customer Rating</t>
  </si>
  <si>
    <t>Customer_Rating_categorized</t>
  </si>
  <si>
    <t>B007</t>
  </si>
  <si>
    <t>Enugu</t>
  </si>
  <si>
    <t>Abuja</t>
  </si>
  <si>
    <t>Enugu-Abuja</t>
  </si>
  <si>
    <t>Male</t>
  </si>
  <si>
    <t>D004</t>
  </si>
  <si>
    <t>AC Issue</t>
  </si>
  <si>
    <t>Satisfied</t>
  </si>
  <si>
    <t>B004</t>
  </si>
  <si>
    <t>Kaduna</t>
  </si>
  <si>
    <t>Kano</t>
  </si>
  <si>
    <t>Kaduna-Kano</t>
  </si>
  <si>
    <t>D002</t>
  </si>
  <si>
    <t>None</t>
  </si>
  <si>
    <t>B014</t>
  </si>
  <si>
    <t>Port Harcourt</t>
  </si>
  <si>
    <t>Kaduna-Port Harcourt</t>
  </si>
  <si>
    <t>Female</t>
  </si>
  <si>
    <t>D001</t>
  </si>
  <si>
    <t>Very Dissatisfied</t>
  </si>
  <si>
    <t>B008</t>
  </si>
  <si>
    <t>Benin</t>
  </si>
  <si>
    <t>Benin-Kaduna</t>
  </si>
  <si>
    <t>Very Satisfied</t>
  </si>
  <si>
    <t>B002</t>
  </si>
  <si>
    <t>Abuja-Enugu</t>
  </si>
  <si>
    <t>Neutral</t>
  </si>
  <si>
    <t>B011</t>
  </si>
  <si>
    <t>Lagos</t>
  </si>
  <si>
    <t>Lagos-Abuja</t>
  </si>
  <si>
    <t>D008</t>
  </si>
  <si>
    <t>Engine Check</t>
  </si>
  <si>
    <t>B012</t>
  </si>
  <si>
    <t>Lagos-Kano</t>
  </si>
  <si>
    <t>Tire Change</t>
  </si>
  <si>
    <t>Dissatisfied</t>
  </si>
  <si>
    <t>B010</t>
  </si>
  <si>
    <t>Abuja-Lagos</t>
  </si>
  <si>
    <t>D005</t>
  </si>
  <si>
    <t>B009</t>
  </si>
  <si>
    <t>Port Harcourt-Kaduna</t>
  </si>
  <si>
    <t>D003</t>
  </si>
  <si>
    <t>Port Harcourt-Enugu</t>
  </si>
  <si>
    <t>D006</t>
  </si>
  <si>
    <t>B003</t>
  </si>
  <si>
    <t>Port Harcourt-Lagos</t>
  </si>
  <si>
    <t>Enugu-Kaduna</t>
  </si>
  <si>
    <t>D010</t>
  </si>
  <si>
    <t>B013</t>
  </si>
  <si>
    <t>Lagos-Benin</t>
  </si>
  <si>
    <t>Enugu-Lagos</t>
  </si>
  <si>
    <t>D007</t>
  </si>
  <si>
    <t>Benin-Port Harcourt</t>
  </si>
  <si>
    <t>Kano-Port Harcourt</t>
  </si>
  <si>
    <t>Ibadan</t>
  </si>
  <si>
    <t>Abuja-Ibadan</t>
  </si>
  <si>
    <t>Ibadan-Enugu</t>
  </si>
  <si>
    <t>B001</t>
  </si>
  <si>
    <t>Abuja-Benin</t>
  </si>
  <si>
    <t>B006</t>
  </si>
  <si>
    <t>D009</t>
  </si>
  <si>
    <t>Lagos-Ibadan</t>
  </si>
  <si>
    <t>Kano-Lagos</t>
  </si>
  <si>
    <t>Port Harcourt-Ibadan</t>
  </si>
  <si>
    <t>Benin-Lagos</t>
  </si>
  <si>
    <t>Ibadan-Abuja</t>
  </si>
  <si>
    <t>Kano-Enugu</t>
  </si>
  <si>
    <t>Port Harcourt-Benin</t>
  </si>
  <si>
    <t>Enugu-Benin</t>
  </si>
  <si>
    <t>B005</t>
  </si>
  <si>
    <t>Lagos-Port Harcourt</t>
  </si>
  <si>
    <t>Kaduna-Benin</t>
  </si>
  <si>
    <t>Kaduna-Lagos</t>
  </si>
  <si>
    <t>Ibadan-Kano</t>
  </si>
  <si>
    <t>Lagos-Kaduna</t>
  </si>
  <si>
    <t>Kano-Abuja</t>
  </si>
  <si>
    <t>Port Harcourt-Abuja</t>
  </si>
  <si>
    <t>Kano-Kaduna</t>
  </si>
  <si>
    <t>Abuja-Kaduna</t>
  </si>
  <si>
    <t>Abuja-Kano</t>
  </si>
  <si>
    <t>Kaduna-Ibadan</t>
  </si>
  <si>
    <t>Benin-Abuja</t>
  </si>
  <si>
    <t>Port Harcourt-Kano</t>
  </si>
  <si>
    <t>Benin-Ibadan</t>
  </si>
  <si>
    <t>Ibadan-Lagos</t>
  </si>
  <si>
    <t>Kano-Ibadan</t>
  </si>
  <si>
    <t>Ibadan-Port Harcourt</t>
  </si>
  <si>
    <t>Kaduna-Enugu</t>
  </si>
  <si>
    <t>Enugu-Ibadan</t>
  </si>
  <si>
    <t>Enugu-Port Harcourt</t>
  </si>
  <si>
    <t>Sunday</t>
  </si>
  <si>
    <t>Monday</t>
  </si>
  <si>
    <t>Tuesday</t>
  </si>
  <si>
    <t>Wednesday</t>
  </si>
  <si>
    <t>Thursday</t>
  </si>
  <si>
    <t>Friday</t>
  </si>
  <si>
    <t>Saturday</t>
  </si>
  <si>
    <t>Grand Total</t>
  </si>
  <si>
    <t>Sum of Number of Passengers</t>
  </si>
  <si>
    <t>weekdays</t>
  </si>
  <si>
    <t>Sum of Fuel Consumption (Liters)</t>
  </si>
  <si>
    <t xml:space="preserve">Sum of Drivers allowance </t>
  </si>
  <si>
    <t>Sum of Customer Rating</t>
  </si>
  <si>
    <t>customer rating</t>
  </si>
  <si>
    <t>Sum of Distance (km)</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</si>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</sst>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F400]h:mm:ss\ AM/PM"/>
    <numFmt numFmtId="165" formatCode="&quot;₦&quot;#,##0.00"/>
    <numFmt numFmtId="166" formatCode="yyyy\-mm\-dd\ hh:mm:ss"/>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165" fontId="1" fillId="0" borderId="1" xfId="0" applyNumberFormat="1" applyFont="1" applyBorder="1" applyAlignment="1">
      <alignment horizontal="center" vertical="top"/>
    </xf>
    <xf numFmtId="165" fontId="1" fillId="0" borderId="2" xfId="0" applyNumberFormat="1" applyFont="1" applyBorder="1" applyAlignment="1">
      <alignment horizontal="center" vertical="top"/>
    </xf>
    <xf numFmtId="0" fontId="1" fillId="0" borderId="2" xfId="0" applyFont="1" applyBorder="1" applyAlignment="1">
      <alignment horizontal="center" vertical="top"/>
    </xf>
    <xf numFmtId="1" fontId="1" fillId="0" borderId="0" xfId="0" applyNumberFormat="1" applyFont="1" applyAlignment="1">
      <alignment horizontal="center" vertical="top"/>
    </xf>
    <xf numFmtId="0" fontId="1" fillId="0" borderId="3" xfId="0" applyFont="1" applyBorder="1" applyAlignment="1">
      <alignment horizontal="center" vertical="top"/>
    </xf>
    <xf numFmtId="14" fontId="0" fillId="0" borderId="0" xfId="0" applyNumberFormat="1"/>
    <xf numFmtId="164"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43" fontId="0" fillId="0" borderId="0" xfId="0" applyNumberFormat="1"/>
  </cellXfs>
  <cellStyles count="1">
    <cellStyle name="Normal" xfId="0" builtinId="0"/>
  </cellStyles>
  <dxfs count="8">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Dataset_2.xlsx]Sheet2!PivotTable1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SUM OF NO. OF PASSENGERS BY 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alpha val="85000"/>
            </a:schemeClr>
          </a:solidFill>
          <a:ln>
            <a:noFill/>
          </a:ln>
          <a:effectLst>
            <a:innerShdw dist="12700" dir="16200000">
              <a:schemeClr val="lt1"/>
            </a:innerShdw>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Sheet2!$B$3</c:f>
              <c:strCache>
                <c:ptCount val="1"/>
                <c:pt idx="0">
                  <c:v>Total</c:v>
                </c:pt>
              </c:strCache>
            </c:strRef>
          </c:tx>
          <c:spPr>
            <a:solidFill>
              <a:schemeClr val="accent2">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Sheet2!$A$4:$A$11</c:f>
              <c:strCache>
                <c:ptCount val="7"/>
                <c:pt idx="0">
                  <c:v>Sunday</c:v>
                </c:pt>
                <c:pt idx="1">
                  <c:v>Monday</c:v>
                </c:pt>
                <c:pt idx="2">
                  <c:v>Tuesday</c:v>
                </c:pt>
                <c:pt idx="3">
                  <c:v>Wednesday</c:v>
                </c:pt>
                <c:pt idx="4">
                  <c:v>Thursday</c:v>
                </c:pt>
                <c:pt idx="5">
                  <c:v>Friday</c:v>
                </c:pt>
                <c:pt idx="6">
                  <c:v>Saturday</c:v>
                </c:pt>
              </c:strCache>
            </c:strRef>
          </c:cat>
          <c:val>
            <c:numRef>
              <c:f>Sheet2!$B$4:$B$11</c:f>
              <c:numCache>
                <c:formatCode>General</c:formatCode>
                <c:ptCount val="7"/>
                <c:pt idx="0">
                  <c:v>311</c:v>
                </c:pt>
                <c:pt idx="1">
                  <c:v>319</c:v>
                </c:pt>
                <c:pt idx="2">
                  <c:v>331</c:v>
                </c:pt>
                <c:pt idx="3">
                  <c:v>404</c:v>
                </c:pt>
                <c:pt idx="4">
                  <c:v>303</c:v>
                </c:pt>
                <c:pt idx="5">
                  <c:v>322</c:v>
                </c:pt>
                <c:pt idx="6">
                  <c:v>359</c:v>
                </c:pt>
              </c:numCache>
            </c:numRef>
          </c:val>
          <c:extLst>
            <c:ext xmlns:c16="http://schemas.microsoft.com/office/drawing/2014/chart" uri="{C3380CC4-5D6E-409C-BE32-E72D297353CC}">
              <c16:uniqueId val="{00000000-BF69-418A-9BC4-2B1081A1658B}"/>
            </c:ext>
          </c:extLst>
        </c:ser>
        <c:dLbls>
          <c:showLegendKey val="0"/>
          <c:showVal val="1"/>
          <c:showCatName val="0"/>
          <c:showSerName val="0"/>
          <c:showPercent val="0"/>
          <c:showBubbleSize val="0"/>
        </c:dLbls>
        <c:axId val="1131645008"/>
        <c:axId val="1380287936"/>
      </c:areaChart>
      <c:catAx>
        <c:axId val="11316450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0287936"/>
        <c:crosses val="autoZero"/>
        <c:auto val="1"/>
        <c:lblAlgn val="ctr"/>
        <c:lblOffset val="100"/>
        <c:noMultiLvlLbl val="0"/>
      </c:catAx>
      <c:valAx>
        <c:axId val="13802879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16450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harsh" dir="t">
        <a:rot lat="0" lon="0" rev="3000000"/>
      </a:lightRig>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[travel Dataset_2.xlsx]Sheet2!PivotTable3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sum of no.  of passengers by Route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Sheet2!$B$47</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Sheet2!$A$48:$A$58</c:f>
              <c:strCache>
                <c:ptCount val="10"/>
                <c:pt idx="0">
                  <c:v>Port Harcourt-Lagos</c:v>
                </c:pt>
                <c:pt idx="1">
                  <c:v>Port Harcourt-Ibadan</c:v>
                </c:pt>
                <c:pt idx="2">
                  <c:v>Lagos-Port Harcourt</c:v>
                </c:pt>
                <c:pt idx="3">
                  <c:v>Lagos-Kano</c:v>
                </c:pt>
                <c:pt idx="4">
                  <c:v>Ibadan-Enugu</c:v>
                </c:pt>
                <c:pt idx="5">
                  <c:v>Ibadan-Abuja</c:v>
                </c:pt>
                <c:pt idx="6">
                  <c:v>Enugu-Benin</c:v>
                </c:pt>
                <c:pt idx="7">
                  <c:v>Benin-Kaduna</c:v>
                </c:pt>
                <c:pt idx="8">
                  <c:v>Benin-Ibadan</c:v>
                </c:pt>
                <c:pt idx="9">
                  <c:v>Abuja-Benin</c:v>
                </c:pt>
              </c:strCache>
            </c:strRef>
          </c:cat>
          <c:val>
            <c:numRef>
              <c:f>Sheet2!$B$48:$B$58</c:f>
              <c:numCache>
                <c:formatCode>General</c:formatCode>
                <c:ptCount val="10"/>
                <c:pt idx="0">
                  <c:v>144</c:v>
                </c:pt>
                <c:pt idx="1">
                  <c:v>80</c:v>
                </c:pt>
                <c:pt idx="2">
                  <c:v>94</c:v>
                </c:pt>
                <c:pt idx="3">
                  <c:v>79</c:v>
                </c:pt>
                <c:pt idx="4">
                  <c:v>95</c:v>
                </c:pt>
                <c:pt idx="5">
                  <c:v>77</c:v>
                </c:pt>
                <c:pt idx="6">
                  <c:v>76</c:v>
                </c:pt>
                <c:pt idx="7">
                  <c:v>82</c:v>
                </c:pt>
                <c:pt idx="8">
                  <c:v>74</c:v>
                </c:pt>
                <c:pt idx="9">
                  <c:v>81</c:v>
                </c:pt>
              </c:numCache>
            </c:numRef>
          </c:val>
          <c:extLst>
            <c:ext xmlns:c16="http://schemas.microsoft.com/office/drawing/2014/chart" uri="{C3380CC4-5D6E-409C-BE32-E72D297353CC}">
              <c16:uniqueId val="{00000000-353D-467A-9825-59C37B4079B1}"/>
            </c:ext>
          </c:extLst>
        </c:ser>
        <c:dLbls>
          <c:dLblPos val="inEnd"/>
          <c:showLegendKey val="0"/>
          <c:showVal val="1"/>
          <c:showCatName val="0"/>
          <c:showSerName val="0"/>
          <c:showPercent val="0"/>
          <c:showBubbleSize val="0"/>
        </c:dLbls>
        <c:gapWidth val="65"/>
        <c:axId val="1493748960"/>
        <c:axId val="1131693712"/>
      </c:barChart>
      <c:catAx>
        <c:axId val="1493748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1693712"/>
        <c:crosses val="autoZero"/>
        <c:auto val="1"/>
        <c:lblAlgn val="ctr"/>
        <c:lblOffset val="100"/>
        <c:noMultiLvlLbl val="0"/>
      </c:catAx>
      <c:valAx>
        <c:axId val="1131693712"/>
        <c:scaling>
          <c:orientation val="minMax"/>
        </c:scaling>
        <c:delete val="1"/>
        <c:axPos val="l"/>
        <c:numFmt formatCode="General" sourceLinked="1"/>
        <c:majorTickMark val="none"/>
        <c:minorTickMark val="none"/>
        <c:tickLblPos val="nextTo"/>
        <c:crossAx val="1493748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Dataset_2.xlsx]Sheet2!PivotTable5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FUEL CONSUMPTION BY ROUTE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Sheet2!$A$64:$A$74</c:f>
              <c:strCache>
                <c:ptCount val="10"/>
                <c:pt idx="0">
                  <c:v>Kano-Port Harcourt</c:v>
                </c:pt>
                <c:pt idx="1">
                  <c:v>Benin-Kaduna</c:v>
                </c:pt>
                <c:pt idx="2">
                  <c:v>Ibadan-Abuja</c:v>
                </c:pt>
                <c:pt idx="3">
                  <c:v>Port Harcourt-Ibadan</c:v>
                </c:pt>
                <c:pt idx="4">
                  <c:v>Ibadan-Enugu</c:v>
                </c:pt>
                <c:pt idx="5">
                  <c:v>Ibadan-Kano</c:v>
                </c:pt>
                <c:pt idx="6">
                  <c:v>Lagos-Port Harcourt</c:v>
                </c:pt>
                <c:pt idx="7">
                  <c:v>Kaduna-Ibadan</c:v>
                </c:pt>
                <c:pt idx="8">
                  <c:v>Lagos-Kano</c:v>
                </c:pt>
                <c:pt idx="9">
                  <c:v>Port Harcourt-Lagos</c:v>
                </c:pt>
              </c:strCache>
            </c:strRef>
          </c:cat>
          <c:val>
            <c:numRef>
              <c:f>Sheet2!$B$64:$B$74</c:f>
              <c:numCache>
                <c:formatCode>General</c:formatCode>
                <c:ptCount val="10"/>
                <c:pt idx="0">
                  <c:v>444.99</c:v>
                </c:pt>
                <c:pt idx="1">
                  <c:v>448.01000000000005</c:v>
                </c:pt>
                <c:pt idx="2">
                  <c:v>483.35</c:v>
                </c:pt>
                <c:pt idx="3">
                  <c:v>488.32</c:v>
                </c:pt>
                <c:pt idx="4">
                  <c:v>512.85</c:v>
                </c:pt>
                <c:pt idx="5">
                  <c:v>525.99</c:v>
                </c:pt>
                <c:pt idx="6">
                  <c:v>549</c:v>
                </c:pt>
                <c:pt idx="7">
                  <c:v>660</c:v>
                </c:pt>
                <c:pt idx="8">
                  <c:v>675.67999999999984</c:v>
                </c:pt>
                <c:pt idx="9">
                  <c:v>922.5</c:v>
                </c:pt>
              </c:numCache>
            </c:numRef>
          </c:val>
          <c:extLst>
            <c:ext xmlns:c16="http://schemas.microsoft.com/office/drawing/2014/chart" uri="{C3380CC4-5D6E-409C-BE32-E72D297353CC}">
              <c16:uniqueId val="{00000000-D51F-46F0-8C12-8ECC8477569F}"/>
            </c:ext>
          </c:extLst>
        </c:ser>
        <c:dLbls>
          <c:dLblPos val="inEnd"/>
          <c:showLegendKey val="0"/>
          <c:showVal val="1"/>
          <c:showCatName val="0"/>
          <c:showSerName val="0"/>
          <c:showPercent val="0"/>
          <c:showBubbleSize val="0"/>
        </c:dLbls>
        <c:gapWidth val="65"/>
        <c:axId val="1440115936"/>
        <c:axId val="1131692880"/>
      </c:barChart>
      <c:catAx>
        <c:axId val="14401159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1692880"/>
        <c:crosses val="autoZero"/>
        <c:auto val="1"/>
        <c:lblAlgn val="ctr"/>
        <c:lblOffset val="100"/>
        <c:noMultiLvlLbl val="0"/>
      </c:catAx>
      <c:valAx>
        <c:axId val="1131692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4011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harsh" dir="t">
        <a:rot lat="0" lon="0" rev="3000000"/>
      </a:lightRig>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Dataset_2.xlsx]Sheet2!PivotTable10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CUSTOMER RATING</a:t>
            </a:r>
          </a:p>
        </c:rich>
      </c:tx>
      <c:layout>
        <c:manualLayout>
          <c:xMode val="edge"/>
          <c:yMode val="edge"/>
          <c:x val="0.18929623503963569"/>
          <c:y val="2.11717499794212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Sheet2!$B$101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Sheet2!$A$102:$A$107</c:f>
              <c:strCache>
                <c:ptCount val="5"/>
                <c:pt idx="0">
                  <c:v>Very Dissatisfied</c:v>
                </c:pt>
                <c:pt idx="1">
                  <c:v>Dissatisfied</c:v>
                </c:pt>
                <c:pt idx="2">
                  <c:v>Neutral</c:v>
                </c:pt>
                <c:pt idx="3">
                  <c:v>Satisfied</c:v>
                </c:pt>
                <c:pt idx="4">
                  <c:v>Very Satisfied</c:v>
                </c:pt>
              </c:strCache>
            </c:strRef>
          </c:cat>
          <c:val>
            <c:numRef>
              <c:f>Sheet2!$B$102:$B$107</c:f>
              <c:numCache>
                <c:formatCode>_(* #,##0.00_);_(* \(#,##0.00\);_(* "-"??_);_(@_)</c:formatCode>
                <c:ptCount val="5"/>
                <c:pt idx="0">
                  <c:v>29</c:v>
                </c:pt>
                <c:pt idx="1">
                  <c:v>46</c:v>
                </c:pt>
                <c:pt idx="2">
                  <c:v>108</c:v>
                </c:pt>
                <c:pt idx="3">
                  <c:v>112</c:v>
                </c:pt>
                <c:pt idx="4">
                  <c:v>170</c:v>
                </c:pt>
              </c:numCache>
            </c:numRef>
          </c:val>
          <c:extLst>
            <c:ext xmlns:c16="http://schemas.microsoft.com/office/drawing/2014/chart" uri="{C3380CC4-5D6E-409C-BE32-E72D297353CC}">
              <c16:uniqueId val="{00000000-050B-4D2B-B0FE-AF568FE0CFA1}"/>
            </c:ext>
          </c:extLst>
        </c:ser>
        <c:dLbls>
          <c:dLblPos val="inEnd"/>
          <c:showLegendKey val="0"/>
          <c:showVal val="1"/>
          <c:showCatName val="0"/>
          <c:showSerName val="0"/>
          <c:showPercent val="0"/>
          <c:showBubbleSize val="0"/>
        </c:dLbls>
        <c:gapWidth val="65"/>
        <c:axId val="1495833232"/>
        <c:axId val="1429728560"/>
      </c:barChart>
      <c:catAx>
        <c:axId val="14958332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9728560"/>
        <c:crosses val="autoZero"/>
        <c:auto val="1"/>
        <c:lblAlgn val="ctr"/>
        <c:lblOffset val="100"/>
        <c:noMultiLvlLbl val="0"/>
      </c:catAx>
      <c:valAx>
        <c:axId val="1429728560"/>
        <c:scaling>
          <c:orientation val="minMax"/>
        </c:scaling>
        <c:delete val="1"/>
        <c:axPos val="l"/>
        <c:numFmt formatCode="_(* #,##0.00_);_(* \(#,##0.00\);_(* &quot;-&quot;??_);_(@_)" sourceLinked="1"/>
        <c:majorTickMark val="none"/>
        <c:minorTickMark val="none"/>
        <c:tickLblPos val="nextTo"/>
        <c:crossAx val="149583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harsh" dir="t">
        <a:rot lat="0" lon="0" rev="3000000"/>
      </a:lightRig>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Dataset_2.xlsx]Sheet2!PivotTable7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SUM OF DRIVER'S ALLOWANCE BY ROUTE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alpha val="85000"/>
            </a:schemeClr>
          </a:solidFill>
          <a:ln w="12700"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Sheet2!$B$78</c:f>
              <c:strCache>
                <c:ptCount val="1"/>
                <c:pt idx="0">
                  <c:v>Total</c:v>
                </c:pt>
              </c:strCache>
            </c:strRef>
          </c:tx>
          <c:spPr>
            <a:solidFill>
              <a:schemeClr val="accent2">
                <a:alpha val="85000"/>
              </a:schemeClr>
            </a:solidFill>
            <a:ln w="12700"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Sheet2!$A$79:$A$90</c:f>
              <c:strCache>
                <c:ptCount val="11"/>
                <c:pt idx="0">
                  <c:v>Enugu-Benin</c:v>
                </c:pt>
                <c:pt idx="1">
                  <c:v>Ibadan-Abuja</c:v>
                </c:pt>
                <c:pt idx="2">
                  <c:v>Benin-Ibadan</c:v>
                </c:pt>
                <c:pt idx="3">
                  <c:v>Abuja-Benin</c:v>
                </c:pt>
                <c:pt idx="4">
                  <c:v>Port Harcourt-Ibadan</c:v>
                </c:pt>
                <c:pt idx="5">
                  <c:v>Kaduna-Ibadan</c:v>
                </c:pt>
                <c:pt idx="6">
                  <c:v>Benin-Kaduna</c:v>
                </c:pt>
                <c:pt idx="7">
                  <c:v>Lagos-Kano</c:v>
                </c:pt>
                <c:pt idx="8">
                  <c:v>Ibadan-Enugu</c:v>
                </c:pt>
                <c:pt idx="9">
                  <c:v>Lagos-Port Harcourt</c:v>
                </c:pt>
                <c:pt idx="10">
                  <c:v>Port Harcourt-Lagos</c:v>
                </c:pt>
              </c:strCache>
            </c:strRef>
          </c:cat>
          <c:val>
            <c:numRef>
              <c:f>Sheet2!$B$79:$B$90</c:f>
              <c:numCache>
                <c:formatCode>_(* #,##0.00_);_(* \(#,##0.00\);_(* "-"??_);_(@_)</c:formatCode>
                <c:ptCount val="11"/>
                <c:pt idx="0">
                  <c:v>15000</c:v>
                </c:pt>
                <c:pt idx="1">
                  <c:v>15000</c:v>
                </c:pt>
                <c:pt idx="2">
                  <c:v>15000</c:v>
                </c:pt>
                <c:pt idx="3">
                  <c:v>15000</c:v>
                </c:pt>
                <c:pt idx="4">
                  <c:v>15000</c:v>
                </c:pt>
                <c:pt idx="5">
                  <c:v>15000</c:v>
                </c:pt>
                <c:pt idx="6">
                  <c:v>15000</c:v>
                </c:pt>
                <c:pt idx="7">
                  <c:v>15000</c:v>
                </c:pt>
                <c:pt idx="8">
                  <c:v>18000</c:v>
                </c:pt>
                <c:pt idx="9">
                  <c:v>18000</c:v>
                </c:pt>
                <c:pt idx="10">
                  <c:v>27000</c:v>
                </c:pt>
              </c:numCache>
            </c:numRef>
          </c:val>
          <c:extLst>
            <c:ext xmlns:c16="http://schemas.microsoft.com/office/drawing/2014/chart" uri="{C3380CC4-5D6E-409C-BE32-E72D297353CC}">
              <c16:uniqueId val="{00000000-44A7-42AE-A3D3-D27C15C28B30}"/>
            </c:ext>
          </c:extLst>
        </c:ser>
        <c:dLbls>
          <c:dLblPos val="inEnd"/>
          <c:showLegendKey val="0"/>
          <c:showVal val="1"/>
          <c:showCatName val="0"/>
          <c:showSerName val="0"/>
          <c:showPercent val="0"/>
          <c:showBubbleSize val="0"/>
        </c:dLbls>
        <c:gapWidth val="65"/>
        <c:axId val="1489897968"/>
        <c:axId val="1139842784"/>
      </c:barChart>
      <c:catAx>
        <c:axId val="14898979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9842784"/>
        <c:crosses val="autoZero"/>
        <c:auto val="1"/>
        <c:lblAlgn val="ctr"/>
        <c:lblOffset val="100"/>
        <c:noMultiLvlLbl val="0"/>
      </c:catAx>
      <c:valAx>
        <c:axId val="1139842784"/>
        <c:scaling>
          <c:orientation val="minMax"/>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8989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Dataset_2.xlsx]Sheet2!PivotTable8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NO. OF PASSENGER BY GENDERl</a:t>
            </a:r>
          </a:p>
        </c:rich>
      </c:tx>
      <c:layout>
        <c:manualLayout>
          <c:xMode val="edge"/>
          <c:yMode val="edge"/>
          <c:x val="0.14761313480179888"/>
          <c:y val="4.79610762059110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Sheet2!$B$94</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2A-49B0-BDF8-B150B825283F}"/>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2A-49B0-BDF8-B150B82528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Sheet2!$A$95:$A$97</c:f>
              <c:strCache>
                <c:ptCount val="2"/>
                <c:pt idx="0">
                  <c:v>Female</c:v>
                </c:pt>
                <c:pt idx="1">
                  <c:v>Male</c:v>
                </c:pt>
              </c:strCache>
            </c:strRef>
          </c:cat>
          <c:val>
            <c:numRef>
              <c:f>Sheet2!$B$95:$B$97</c:f>
              <c:numCache>
                <c:formatCode>_(* #,##0.00_);_(* \(#,##0.00\);_(* "-"??_);_(@_)</c:formatCode>
                <c:ptCount val="2"/>
                <c:pt idx="0">
                  <c:v>1094</c:v>
                </c:pt>
                <c:pt idx="1">
                  <c:v>1255</c:v>
                </c:pt>
              </c:numCache>
            </c:numRef>
          </c:val>
          <c:extLst>
            <c:ext xmlns:c16="http://schemas.microsoft.com/office/drawing/2014/chart" uri="{C3380CC4-5D6E-409C-BE32-E72D297353CC}">
              <c16:uniqueId val="{00000004-D72A-49B0-BDF8-B150B825283F}"/>
            </c:ext>
          </c:extLst>
        </c:ser>
        <c:dLbls>
          <c:showLegendKey val="0"/>
          <c:showVal val="1"/>
          <c:showCatName val="0"/>
          <c:showSerName val="0"/>
          <c:showPercent val="0"/>
          <c:showBubbleSize val="0"/>
          <c:showLeaderLines val="1"/>
        </c:dLbls>
        <c:firstSliceAng val="325"/>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5795392301467437E-2"/>
          <c:y val="0.19921843102945466"/>
          <c:w val="0.8357835580494879"/>
          <c:h val="0.72088764946048411"/>
        </c:manualLayout>
      </c:layout>
      <c:scatterChart>
        <c:scatterStyle val="lineMarker"/>
        <c:varyColors val="0"/>
        <c:ser>
          <c:idx val="0"/>
          <c:order val="0"/>
          <c:tx>
            <c:strRef>
              <c:f>Sheet1!$P$1</c:f>
              <c:strCache>
                <c:ptCount val="1"/>
                <c:pt idx="0">
                  <c:v>Fuel Consumption (Liters)</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Sheet1!$J$2:$J$151</c:f>
              <c:numCache>
                <c:formatCode>General</c:formatCode>
                <c:ptCount val="150"/>
                <c:pt idx="0">
                  <c:v>440</c:v>
                </c:pt>
                <c:pt idx="1">
                  <c:v>230</c:v>
                </c:pt>
                <c:pt idx="2">
                  <c:v>800</c:v>
                </c:pt>
                <c:pt idx="3">
                  <c:v>550</c:v>
                </c:pt>
                <c:pt idx="4">
                  <c:v>370</c:v>
                </c:pt>
                <c:pt idx="5">
                  <c:v>760</c:v>
                </c:pt>
                <c:pt idx="6">
                  <c:v>980</c:v>
                </c:pt>
                <c:pt idx="7">
                  <c:v>760</c:v>
                </c:pt>
                <c:pt idx="8">
                  <c:v>850</c:v>
                </c:pt>
                <c:pt idx="9">
                  <c:v>250</c:v>
                </c:pt>
                <c:pt idx="10">
                  <c:v>600</c:v>
                </c:pt>
                <c:pt idx="11">
                  <c:v>590</c:v>
                </c:pt>
                <c:pt idx="12">
                  <c:v>320</c:v>
                </c:pt>
                <c:pt idx="13">
                  <c:v>560</c:v>
                </c:pt>
                <c:pt idx="14">
                  <c:v>410</c:v>
                </c:pt>
                <c:pt idx="15">
                  <c:v>900</c:v>
                </c:pt>
                <c:pt idx="16">
                  <c:v>520</c:v>
                </c:pt>
                <c:pt idx="17">
                  <c:v>470</c:v>
                </c:pt>
                <c:pt idx="18">
                  <c:v>400</c:v>
                </c:pt>
                <c:pt idx="19">
                  <c:v>130</c:v>
                </c:pt>
                <c:pt idx="20">
                  <c:v>970</c:v>
                </c:pt>
                <c:pt idx="21">
                  <c:v>600</c:v>
                </c:pt>
                <c:pt idx="22">
                  <c:v>320</c:v>
                </c:pt>
                <c:pt idx="23">
                  <c:v>520</c:v>
                </c:pt>
                <c:pt idx="24">
                  <c:v>760</c:v>
                </c:pt>
                <c:pt idx="25">
                  <c:v>410</c:v>
                </c:pt>
                <c:pt idx="26">
                  <c:v>380</c:v>
                </c:pt>
                <c:pt idx="27">
                  <c:v>600</c:v>
                </c:pt>
                <c:pt idx="28">
                  <c:v>550</c:v>
                </c:pt>
                <c:pt idx="29">
                  <c:v>780</c:v>
                </c:pt>
                <c:pt idx="30">
                  <c:v>670</c:v>
                </c:pt>
                <c:pt idx="31">
                  <c:v>780</c:v>
                </c:pt>
                <c:pt idx="32">
                  <c:v>360</c:v>
                </c:pt>
                <c:pt idx="33">
                  <c:v>740</c:v>
                </c:pt>
                <c:pt idx="34">
                  <c:v>200</c:v>
                </c:pt>
                <c:pt idx="35">
                  <c:v>200</c:v>
                </c:pt>
                <c:pt idx="36">
                  <c:v>360</c:v>
                </c:pt>
                <c:pt idx="37">
                  <c:v>560</c:v>
                </c:pt>
                <c:pt idx="38">
                  <c:v>400</c:v>
                </c:pt>
                <c:pt idx="39">
                  <c:v>900</c:v>
                </c:pt>
                <c:pt idx="40">
                  <c:v>270</c:v>
                </c:pt>
                <c:pt idx="41">
                  <c:v>130</c:v>
                </c:pt>
                <c:pt idx="42">
                  <c:v>670</c:v>
                </c:pt>
                <c:pt idx="43">
                  <c:v>590</c:v>
                </c:pt>
                <c:pt idx="44">
                  <c:v>600</c:v>
                </c:pt>
                <c:pt idx="45">
                  <c:v>470</c:v>
                </c:pt>
                <c:pt idx="46">
                  <c:v>250</c:v>
                </c:pt>
                <c:pt idx="47">
                  <c:v>320</c:v>
                </c:pt>
                <c:pt idx="48">
                  <c:v>380</c:v>
                </c:pt>
                <c:pt idx="49">
                  <c:v>600</c:v>
                </c:pt>
                <c:pt idx="50">
                  <c:v>560</c:v>
                </c:pt>
                <c:pt idx="51">
                  <c:v>760</c:v>
                </c:pt>
                <c:pt idx="52">
                  <c:v>670</c:v>
                </c:pt>
                <c:pt idx="53">
                  <c:v>200</c:v>
                </c:pt>
                <c:pt idx="54">
                  <c:v>780</c:v>
                </c:pt>
                <c:pt idx="55">
                  <c:v>470</c:v>
                </c:pt>
                <c:pt idx="56">
                  <c:v>230</c:v>
                </c:pt>
                <c:pt idx="57">
                  <c:v>410</c:v>
                </c:pt>
                <c:pt idx="58">
                  <c:v>200</c:v>
                </c:pt>
                <c:pt idx="59">
                  <c:v>900</c:v>
                </c:pt>
                <c:pt idx="60">
                  <c:v>360</c:v>
                </c:pt>
                <c:pt idx="61">
                  <c:v>835</c:v>
                </c:pt>
                <c:pt idx="62">
                  <c:v>450</c:v>
                </c:pt>
                <c:pt idx="63">
                  <c:v>530</c:v>
                </c:pt>
                <c:pt idx="64">
                  <c:v>560</c:v>
                </c:pt>
                <c:pt idx="65">
                  <c:v>400</c:v>
                </c:pt>
                <c:pt idx="66">
                  <c:v>900</c:v>
                </c:pt>
                <c:pt idx="67">
                  <c:v>520</c:v>
                </c:pt>
                <c:pt idx="68">
                  <c:v>560</c:v>
                </c:pt>
                <c:pt idx="69">
                  <c:v>500</c:v>
                </c:pt>
                <c:pt idx="70">
                  <c:v>200</c:v>
                </c:pt>
                <c:pt idx="71">
                  <c:v>500</c:v>
                </c:pt>
                <c:pt idx="72">
                  <c:v>620</c:v>
                </c:pt>
                <c:pt idx="73">
                  <c:v>320</c:v>
                </c:pt>
                <c:pt idx="74">
                  <c:v>270</c:v>
                </c:pt>
                <c:pt idx="75">
                  <c:v>535</c:v>
                </c:pt>
                <c:pt idx="76">
                  <c:v>400</c:v>
                </c:pt>
                <c:pt idx="77">
                  <c:v>400</c:v>
                </c:pt>
                <c:pt idx="78">
                  <c:v>580</c:v>
                </c:pt>
                <c:pt idx="79">
                  <c:v>635</c:v>
                </c:pt>
                <c:pt idx="80">
                  <c:v>130</c:v>
                </c:pt>
                <c:pt idx="81">
                  <c:v>560</c:v>
                </c:pt>
                <c:pt idx="82">
                  <c:v>670</c:v>
                </c:pt>
                <c:pt idx="83">
                  <c:v>580</c:v>
                </c:pt>
                <c:pt idx="84">
                  <c:v>690</c:v>
                </c:pt>
                <c:pt idx="85">
                  <c:v>450</c:v>
                </c:pt>
                <c:pt idx="86">
                  <c:v>580</c:v>
                </c:pt>
                <c:pt idx="87">
                  <c:v>750</c:v>
                </c:pt>
                <c:pt idx="88">
                  <c:v>450</c:v>
                </c:pt>
                <c:pt idx="89">
                  <c:v>615</c:v>
                </c:pt>
                <c:pt idx="90">
                  <c:v>590</c:v>
                </c:pt>
                <c:pt idx="91">
                  <c:v>580</c:v>
                </c:pt>
                <c:pt idx="92">
                  <c:v>560</c:v>
                </c:pt>
                <c:pt idx="93">
                  <c:v>535</c:v>
                </c:pt>
                <c:pt idx="94">
                  <c:v>650</c:v>
                </c:pt>
                <c:pt idx="95">
                  <c:v>580</c:v>
                </c:pt>
                <c:pt idx="96">
                  <c:v>835</c:v>
                </c:pt>
                <c:pt idx="97">
                  <c:v>890</c:v>
                </c:pt>
                <c:pt idx="98">
                  <c:v>860</c:v>
                </c:pt>
                <c:pt idx="99">
                  <c:v>560</c:v>
                </c:pt>
                <c:pt idx="100">
                  <c:v>690</c:v>
                </c:pt>
                <c:pt idx="101">
                  <c:v>690</c:v>
                </c:pt>
                <c:pt idx="102">
                  <c:v>450</c:v>
                </c:pt>
                <c:pt idx="103">
                  <c:v>620</c:v>
                </c:pt>
                <c:pt idx="104">
                  <c:v>500</c:v>
                </c:pt>
                <c:pt idx="105">
                  <c:v>300</c:v>
                </c:pt>
                <c:pt idx="106">
                  <c:v>535</c:v>
                </c:pt>
                <c:pt idx="107">
                  <c:v>860</c:v>
                </c:pt>
                <c:pt idx="108">
                  <c:v>290</c:v>
                </c:pt>
                <c:pt idx="109">
                  <c:v>290</c:v>
                </c:pt>
                <c:pt idx="110">
                  <c:v>615</c:v>
                </c:pt>
                <c:pt idx="111">
                  <c:v>615</c:v>
                </c:pt>
                <c:pt idx="112">
                  <c:v>650</c:v>
                </c:pt>
                <c:pt idx="113">
                  <c:v>360</c:v>
                </c:pt>
                <c:pt idx="114">
                  <c:v>615</c:v>
                </c:pt>
                <c:pt idx="115">
                  <c:v>635</c:v>
                </c:pt>
                <c:pt idx="116">
                  <c:v>620</c:v>
                </c:pt>
                <c:pt idx="117">
                  <c:v>615</c:v>
                </c:pt>
                <c:pt idx="118">
                  <c:v>130</c:v>
                </c:pt>
                <c:pt idx="119">
                  <c:v>360</c:v>
                </c:pt>
                <c:pt idx="120">
                  <c:v>535</c:v>
                </c:pt>
                <c:pt idx="121">
                  <c:v>300</c:v>
                </c:pt>
                <c:pt idx="122">
                  <c:v>620</c:v>
                </c:pt>
                <c:pt idx="123">
                  <c:v>615</c:v>
                </c:pt>
                <c:pt idx="124">
                  <c:v>750</c:v>
                </c:pt>
                <c:pt idx="125">
                  <c:v>580</c:v>
                </c:pt>
                <c:pt idx="126">
                  <c:v>535</c:v>
                </c:pt>
                <c:pt idx="127">
                  <c:v>615</c:v>
                </c:pt>
                <c:pt idx="128">
                  <c:v>870</c:v>
                </c:pt>
                <c:pt idx="129">
                  <c:v>360</c:v>
                </c:pt>
                <c:pt idx="130">
                  <c:v>270</c:v>
                </c:pt>
                <c:pt idx="131">
                  <c:v>535</c:v>
                </c:pt>
                <c:pt idx="132">
                  <c:v>615</c:v>
                </c:pt>
                <c:pt idx="133">
                  <c:v>290</c:v>
                </c:pt>
                <c:pt idx="134">
                  <c:v>270</c:v>
                </c:pt>
                <c:pt idx="135">
                  <c:v>835</c:v>
                </c:pt>
                <c:pt idx="136">
                  <c:v>615</c:v>
                </c:pt>
                <c:pt idx="137">
                  <c:v>870</c:v>
                </c:pt>
                <c:pt idx="138">
                  <c:v>615</c:v>
                </c:pt>
                <c:pt idx="139">
                  <c:v>450</c:v>
                </c:pt>
                <c:pt idx="140">
                  <c:v>130</c:v>
                </c:pt>
                <c:pt idx="141">
                  <c:v>270</c:v>
                </c:pt>
                <c:pt idx="142">
                  <c:v>300</c:v>
                </c:pt>
                <c:pt idx="143">
                  <c:v>635</c:v>
                </c:pt>
                <c:pt idx="144">
                  <c:v>890</c:v>
                </c:pt>
                <c:pt idx="145">
                  <c:v>500</c:v>
                </c:pt>
                <c:pt idx="146">
                  <c:v>270</c:v>
                </c:pt>
                <c:pt idx="147">
                  <c:v>535</c:v>
                </c:pt>
                <c:pt idx="148">
                  <c:v>450</c:v>
                </c:pt>
                <c:pt idx="149">
                  <c:v>130</c:v>
                </c:pt>
              </c:numCache>
            </c:numRef>
          </c:xVal>
          <c:yVal>
            <c:numRef>
              <c:f>Sheet1!$P$2:$P$151</c:f>
              <c:numCache>
                <c:formatCode>General</c:formatCode>
                <c:ptCount val="150"/>
                <c:pt idx="0">
                  <c:v>54</c:v>
                </c:pt>
                <c:pt idx="1">
                  <c:v>29</c:v>
                </c:pt>
                <c:pt idx="2">
                  <c:v>114</c:v>
                </c:pt>
                <c:pt idx="3">
                  <c:v>79</c:v>
                </c:pt>
                <c:pt idx="4">
                  <c:v>53</c:v>
                </c:pt>
                <c:pt idx="5">
                  <c:v>109</c:v>
                </c:pt>
                <c:pt idx="6">
                  <c:v>119</c:v>
                </c:pt>
                <c:pt idx="7">
                  <c:v>109</c:v>
                </c:pt>
                <c:pt idx="8">
                  <c:v>121</c:v>
                </c:pt>
                <c:pt idx="9">
                  <c:v>54</c:v>
                </c:pt>
                <c:pt idx="10">
                  <c:v>50</c:v>
                </c:pt>
                <c:pt idx="11">
                  <c:v>102.5</c:v>
                </c:pt>
                <c:pt idx="12">
                  <c:v>105.83</c:v>
                </c:pt>
                <c:pt idx="13">
                  <c:v>96.67</c:v>
                </c:pt>
                <c:pt idx="14">
                  <c:v>139.16999999999999</c:v>
                </c:pt>
                <c:pt idx="15">
                  <c:v>46</c:v>
                </c:pt>
                <c:pt idx="16">
                  <c:v>88.33</c:v>
                </c:pt>
                <c:pt idx="17">
                  <c:v>75</c:v>
                </c:pt>
                <c:pt idx="18">
                  <c:v>148.33000000000001</c:v>
                </c:pt>
                <c:pt idx="19">
                  <c:v>96.67</c:v>
                </c:pt>
                <c:pt idx="20">
                  <c:v>89.17</c:v>
                </c:pt>
                <c:pt idx="21">
                  <c:v>125</c:v>
                </c:pt>
                <c:pt idx="22">
                  <c:v>83.33</c:v>
                </c:pt>
                <c:pt idx="23">
                  <c:v>46</c:v>
                </c:pt>
                <c:pt idx="24">
                  <c:v>21.67</c:v>
                </c:pt>
                <c:pt idx="25">
                  <c:v>139</c:v>
                </c:pt>
                <c:pt idx="26">
                  <c:v>75</c:v>
                </c:pt>
                <c:pt idx="27">
                  <c:v>103.33</c:v>
                </c:pt>
                <c:pt idx="28">
                  <c:v>53.33</c:v>
                </c:pt>
                <c:pt idx="29">
                  <c:v>96.67</c:v>
                </c:pt>
                <c:pt idx="30">
                  <c:v>112.5</c:v>
                </c:pt>
                <c:pt idx="31">
                  <c:v>96.67</c:v>
                </c:pt>
                <c:pt idx="32">
                  <c:v>75</c:v>
                </c:pt>
                <c:pt idx="33">
                  <c:v>48.33</c:v>
                </c:pt>
                <c:pt idx="34">
                  <c:v>103.33</c:v>
                </c:pt>
                <c:pt idx="35">
                  <c:v>102.5</c:v>
                </c:pt>
                <c:pt idx="36">
                  <c:v>96.67</c:v>
                </c:pt>
                <c:pt idx="37">
                  <c:v>108.33</c:v>
                </c:pt>
                <c:pt idx="38">
                  <c:v>143.33000000000001</c:v>
                </c:pt>
                <c:pt idx="39">
                  <c:v>108.33</c:v>
                </c:pt>
                <c:pt idx="40">
                  <c:v>102.5</c:v>
                </c:pt>
                <c:pt idx="41">
                  <c:v>51</c:v>
                </c:pt>
                <c:pt idx="42">
                  <c:v>102.5</c:v>
                </c:pt>
                <c:pt idx="43">
                  <c:v>98.33</c:v>
                </c:pt>
                <c:pt idx="44">
                  <c:v>96.67</c:v>
                </c:pt>
                <c:pt idx="45">
                  <c:v>103.33</c:v>
                </c:pt>
                <c:pt idx="46">
                  <c:v>83.33</c:v>
                </c:pt>
                <c:pt idx="47">
                  <c:v>53.33</c:v>
                </c:pt>
                <c:pt idx="48">
                  <c:v>48.33</c:v>
                </c:pt>
                <c:pt idx="49">
                  <c:v>102.5</c:v>
                </c:pt>
                <c:pt idx="50">
                  <c:v>88.33</c:v>
                </c:pt>
                <c:pt idx="51">
                  <c:v>112.5</c:v>
                </c:pt>
                <c:pt idx="52">
                  <c:v>143.33000000000001</c:v>
                </c:pt>
                <c:pt idx="53">
                  <c:v>38.33</c:v>
                </c:pt>
                <c:pt idx="54">
                  <c:v>108.33</c:v>
                </c:pt>
                <c:pt idx="55">
                  <c:v>89.17</c:v>
                </c:pt>
                <c:pt idx="56">
                  <c:v>38.33</c:v>
                </c:pt>
                <c:pt idx="57">
                  <c:v>75</c:v>
                </c:pt>
                <c:pt idx="58">
                  <c:v>30</c:v>
                </c:pt>
                <c:pt idx="59">
                  <c:v>148.33000000000001</c:v>
                </c:pt>
                <c:pt idx="60">
                  <c:v>60</c:v>
                </c:pt>
                <c:pt idx="61">
                  <c:v>139.16999999999999</c:v>
                </c:pt>
                <c:pt idx="62">
                  <c:v>75</c:v>
                </c:pt>
                <c:pt idx="63">
                  <c:v>89.17</c:v>
                </c:pt>
                <c:pt idx="64">
                  <c:v>145</c:v>
                </c:pt>
                <c:pt idx="65">
                  <c:v>83.33</c:v>
                </c:pt>
                <c:pt idx="66">
                  <c:v>148.33000000000001</c:v>
                </c:pt>
                <c:pt idx="67">
                  <c:v>96.67</c:v>
                </c:pt>
                <c:pt idx="68">
                  <c:v>145</c:v>
                </c:pt>
                <c:pt idx="69">
                  <c:v>83.33</c:v>
                </c:pt>
                <c:pt idx="70">
                  <c:v>57</c:v>
                </c:pt>
                <c:pt idx="71">
                  <c:v>83.33</c:v>
                </c:pt>
                <c:pt idx="72">
                  <c:v>75</c:v>
                </c:pt>
                <c:pt idx="73">
                  <c:v>46</c:v>
                </c:pt>
                <c:pt idx="74">
                  <c:v>45</c:v>
                </c:pt>
                <c:pt idx="75">
                  <c:v>89.17</c:v>
                </c:pt>
                <c:pt idx="76">
                  <c:v>83.33</c:v>
                </c:pt>
                <c:pt idx="77">
                  <c:v>83.33</c:v>
                </c:pt>
                <c:pt idx="78">
                  <c:v>96.67</c:v>
                </c:pt>
                <c:pt idx="79">
                  <c:v>105.83</c:v>
                </c:pt>
                <c:pt idx="80">
                  <c:v>19</c:v>
                </c:pt>
                <c:pt idx="81">
                  <c:v>145</c:v>
                </c:pt>
                <c:pt idx="82">
                  <c:v>145</c:v>
                </c:pt>
                <c:pt idx="83">
                  <c:v>96.67</c:v>
                </c:pt>
                <c:pt idx="84">
                  <c:v>115</c:v>
                </c:pt>
                <c:pt idx="85">
                  <c:v>59</c:v>
                </c:pt>
                <c:pt idx="86">
                  <c:v>79</c:v>
                </c:pt>
                <c:pt idx="87">
                  <c:v>109</c:v>
                </c:pt>
                <c:pt idx="88">
                  <c:v>59</c:v>
                </c:pt>
                <c:pt idx="89">
                  <c:v>102.5</c:v>
                </c:pt>
                <c:pt idx="90">
                  <c:v>98.33</c:v>
                </c:pt>
                <c:pt idx="91">
                  <c:v>96.67</c:v>
                </c:pt>
                <c:pt idx="92">
                  <c:v>145</c:v>
                </c:pt>
                <c:pt idx="93">
                  <c:v>89.17</c:v>
                </c:pt>
                <c:pt idx="94">
                  <c:v>108.33</c:v>
                </c:pt>
                <c:pt idx="95">
                  <c:v>96.67</c:v>
                </c:pt>
                <c:pt idx="96">
                  <c:v>139.16999999999999</c:v>
                </c:pt>
                <c:pt idx="97">
                  <c:v>148.33000000000001</c:v>
                </c:pt>
                <c:pt idx="98">
                  <c:v>143.33000000000001</c:v>
                </c:pt>
                <c:pt idx="99">
                  <c:v>80</c:v>
                </c:pt>
                <c:pt idx="100">
                  <c:v>121</c:v>
                </c:pt>
                <c:pt idx="101">
                  <c:v>114</c:v>
                </c:pt>
                <c:pt idx="102">
                  <c:v>53</c:v>
                </c:pt>
                <c:pt idx="103">
                  <c:v>86</c:v>
                </c:pt>
                <c:pt idx="104">
                  <c:v>57</c:v>
                </c:pt>
                <c:pt idx="105">
                  <c:v>36</c:v>
                </c:pt>
                <c:pt idx="106">
                  <c:v>67</c:v>
                </c:pt>
                <c:pt idx="107">
                  <c:v>96</c:v>
                </c:pt>
                <c:pt idx="108">
                  <c:v>54</c:v>
                </c:pt>
                <c:pt idx="109">
                  <c:v>54</c:v>
                </c:pt>
                <c:pt idx="110">
                  <c:v>102.5</c:v>
                </c:pt>
                <c:pt idx="111">
                  <c:v>86</c:v>
                </c:pt>
                <c:pt idx="112">
                  <c:v>111</c:v>
                </c:pt>
                <c:pt idx="113">
                  <c:v>51</c:v>
                </c:pt>
                <c:pt idx="114">
                  <c:v>86</c:v>
                </c:pt>
                <c:pt idx="115">
                  <c:v>84</c:v>
                </c:pt>
                <c:pt idx="116">
                  <c:v>86</c:v>
                </c:pt>
                <c:pt idx="117">
                  <c:v>86</c:v>
                </c:pt>
                <c:pt idx="118">
                  <c:v>19</c:v>
                </c:pt>
                <c:pt idx="119">
                  <c:v>51</c:v>
                </c:pt>
                <c:pt idx="120">
                  <c:v>67</c:v>
                </c:pt>
                <c:pt idx="121">
                  <c:v>36</c:v>
                </c:pt>
                <c:pt idx="122">
                  <c:v>86</c:v>
                </c:pt>
                <c:pt idx="123">
                  <c:v>86</c:v>
                </c:pt>
                <c:pt idx="124">
                  <c:v>125</c:v>
                </c:pt>
                <c:pt idx="125">
                  <c:v>96.67</c:v>
                </c:pt>
                <c:pt idx="126">
                  <c:v>89.17</c:v>
                </c:pt>
                <c:pt idx="127">
                  <c:v>102.5</c:v>
                </c:pt>
                <c:pt idx="128">
                  <c:v>96</c:v>
                </c:pt>
                <c:pt idx="129">
                  <c:v>51</c:v>
                </c:pt>
                <c:pt idx="130">
                  <c:v>39</c:v>
                </c:pt>
                <c:pt idx="131">
                  <c:v>67</c:v>
                </c:pt>
                <c:pt idx="132">
                  <c:v>102.5</c:v>
                </c:pt>
                <c:pt idx="133">
                  <c:v>48.33</c:v>
                </c:pt>
                <c:pt idx="134">
                  <c:v>39</c:v>
                </c:pt>
                <c:pt idx="135">
                  <c:v>139.16999999999999</c:v>
                </c:pt>
                <c:pt idx="136">
                  <c:v>102.5</c:v>
                </c:pt>
                <c:pt idx="137">
                  <c:v>96</c:v>
                </c:pt>
                <c:pt idx="138">
                  <c:v>102.5</c:v>
                </c:pt>
                <c:pt idx="139">
                  <c:v>103.33</c:v>
                </c:pt>
                <c:pt idx="140">
                  <c:v>21.67</c:v>
                </c:pt>
                <c:pt idx="141">
                  <c:v>45</c:v>
                </c:pt>
                <c:pt idx="142">
                  <c:v>50</c:v>
                </c:pt>
                <c:pt idx="143">
                  <c:v>105.83</c:v>
                </c:pt>
                <c:pt idx="144">
                  <c:v>148.33000000000001</c:v>
                </c:pt>
                <c:pt idx="145">
                  <c:v>83.33</c:v>
                </c:pt>
                <c:pt idx="146">
                  <c:v>45</c:v>
                </c:pt>
                <c:pt idx="147">
                  <c:v>88.33</c:v>
                </c:pt>
                <c:pt idx="148">
                  <c:v>103.33</c:v>
                </c:pt>
                <c:pt idx="149">
                  <c:v>21.67</c:v>
                </c:pt>
              </c:numCache>
            </c:numRef>
          </c:yVal>
          <c:smooth val="0"/>
          <c:extLst>
            <c:ext xmlns:c16="http://schemas.microsoft.com/office/drawing/2014/chart" uri="{C3380CC4-5D6E-409C-BE32-E72D297353CC}">
              <c16:uniqueId val="{00000000-81CC-4488-A1CC-E7334D1171F4}"/>
            </c:ext>
          </c:extLst>
        </c:ser>
        <c:dLbls>
          <c:showLegendKey val="0"/>
          <c:showVal val="0"/>
          <c:showCatName val="0"/>
          <c:showSerName val="0"/>
          <c:showPercent val="0"/>
          <c:showBubbleSize val="0"/>
        </c:dLbls>
        <c:axId val="1488021840"/>
        <c:axId val="1497905920"/>
      </c:scatterChart>
      <c:valAx>
        <c:axId val="148802184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497905920"/>
        <c:crosses val="autoZero"/>
        <c:crossBetween val="midCat"/>
      </c:valAx>
      <c:valAx>
        <c:axId val="14979059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488021840"/>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24</xdr:row>
      <xdr:rowOff>142875</xdr:rowOff>
    </xdr:from>
    <xdr:to>
      <xdr:col>1</xdr:col>
      <xdr:colOff>1838325</xdr:colOff>
      <xdr:row>38</xdr:row>
      <xdr:rowOff>133350</xdr:rowOff>
    </xdr:to>
    <mc:AlternateContent xmlns:mc="http://schemas.openxmlformats.org/markup-compatibility/2006">
      <mc:Choice xmlns:a14="http://schemas.microsoft.com/office/drawing/2010/main" Requires="a14">
        <xdr:graphicFrame macro="">
          <xdr:nvGraphicFramePr>
            <xdr:cNvPr id="11" name="Weekday 1">
              <a:extLst>
                <a:ext uri="{FF2B5EF4-FFF2-40B4-BE49-F238E27FC236}">
                  <a16:creationId xmlns:a16="http://schemas.microsoft.com/office/drawing/2014/main" id="{03592F3A-0F3B-48E2-B872-60A5BF8FB0BE}"/>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dr:sp macro="" textlink="">
          <xdr:nvSpPr>
            <xdr:cNvPr id="0" name=""/>
            <xdr:cNvSpPr>
              <a:spLocks noTextEdit="1"/>
            </xdr:cNvSpPr>
          </xdr:nvSpPr>
          <xdr:spPr>
            <a:xfrm>
              <a:off x="885825" y="4486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6162</xdr:colOff>
      <xdr:row>0</xdr:row>
      <xdr:rowOff>132556</xdr:rowOff>
    </xdr:from>
    <xdr:to>
      <xdr:col>14</xdr:col>
      <xdr:colOff>371079</xdr:colOff>
      <xdr:row>71</xdr:row>
      <xdr:rowOff>113008</xdr:rowOff>
    </xdr:to>
    <xdr:sp macro="" textlink="">
      <xdr:nvSpPr>
        <xdr:cNvPr id="3" name="Rectangle 2">
          <a:extLst>
            <a:ext uri="{FF2B5EF4-FFF2-40B4-BE49-F238E27FC236}">
              <a16:creationId xmlns:a16="http://schemas.microsoft.com/office/drawing/2014/main" id="{2959DB43-403C-49B7-9BFE-BF81F6C8F1A0}"/>
            </a:ext>
          </a:extLst>
        </xdr:cNvPr>
        <xdr:cNvSpPr/>
      </xdr:nvSpPr>
      <xdr:spPr>
        <a:xfrm>
          <a:off x="2040315" y="132556"/>
          <a:ext cx="7823476" cy="12588969"/>
        </a:xfrm>
        <a:prstGeom prst="rect">
          <a:avLst/>
        </a:prstGeom>
        <a:solidFill>
          <a:schemeClr val="accent1">
            <a:lumMod val="20000"/>
            <a:lumOff val="8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200026</xdr:colOff>
      <xdr:row>1</xdr:row>
      <xdr:rowOff>0</xdr:rowOff>
    </xdr:from>
    <xdr:to>
      <xdr:col>11</xdr:col>
      <xdr:colOff>542926</xdr:colOff>
      <xdr:row>4</xdr:row>
      <xdr:rowOff>133350</xdr:rowOff>
    </xdr:to>
    <xdr:sp macro="" textlink="">
      <xdr:nvSpPr>
        <xdr:cNvPr id="4" name="TextBox 3">
          <a:extLst>
            <a:ext uri="{FF2B5EF4-FFF2-40B4-BE49-F238E27FC236}">
              <a16:creationId xmlns:a16="http://schemas.microsoft.com/office/drawing/2014/main" id="{643F2629-F9C4-45E0-B51B-7BB664FB90DB}"/>
            </a:ext>
          </a:extLst>
        </xdr:cNvPr>
        <xdr:cNvSpPr txBox="1"/>
      </xdr:nvSpPr>
      <xdr:spPr>
        <a:xfrm>
          <a:off x="3629026" y="180975"/>
          <a:ext cx="4457700" cy="676275"/>
        </a:xfrm>
        <a:prstGeom prst="rect">
          <a:avLst/>
        </a:prstGeom>
        <a:solidFill>
          <a:schemeClr val="accent1">
            <a:lumMod val="20000"/>
            <a:lumOff val="80000"/>
          </a:schemeClr>
        </a:solid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tx1"/>
              </a:solidFill>
              <a:latin typeface="Bahnschrift SemiBold" panose="020B0502040204020203" pitchFamily="34" charset="0"/>
            </a:rPr>
            <a:t>Thrive Transport Analytic Dashboard</a:t>
          </a:r>
        </a:p>
        <a:p>
          <a:pPr algn="ctr"/>
          <a:r>
            <a:rPr lang="en-US" sz="1600">
              <a:solidFill>
                <a:schemeClr val="tx1"/>
              </a:solidFill>
              <a:latin typeface="Bahnschrift SemiBold" panose="020B0502040204020203" pitchFamily="34" charset="0"/>
            </a:rPr>
            <a:t>January</a:t>
          </a:r>
          <a:r>
            <a:rPr lang="en-US" sz="1600" baseline="0">
              <a:solidFill>
                <a:schemeClr val="tx1"/>
              </a:solidFill>
              <a:latin typeface="Bahnschrift SemiBold" panose="020B0502040204020203" pitchFamily="34" charset="0"/>
            </a:rPr>
            <a:t> 2025-December 2025</a:t>
          </a:r>
          <a:endParaRPr lang="en-US" sz="1600">
            <a:solidFill>
              <a:schemeClr val="tx1"/>
            </a:solidFill>
            <a:latin typeface="Bahnschrift SemiBold" panose="020B0502040204020203" pitchFamily="34" charset="0"/>
          </a:endParaRPr>
        </a:p>
      </xdr:txBody>
    </xdr:sp>
    <xdr:clientData/>
  </xdr:twoCellAnchor>
  <xdr:twoCellAnchor>
    <xdr:from>
      <xdr:col>3</xdr:col>
      <xdr:colOff>1</xdr:colOff>
      <xdr:row>8</xdr:row>
      <xdr:rowOff>104774</xdr:rowOff>
    </xdr:from>
    <xdr:to>
      <xdr:col>8</xdr:col>
      <xdr:colOff>590551</xdr:colOff>
      <xdr:row>23</xdr:row>
      <xdr:rowOff>66675</xdr:rowOff>
    </xdr:to>
    <xdr:graphicFrame macro="">
      <xdr:nvGraphicFramePr>
        <xdr:cNvPr id="6" name="Chart 5">
          <a:extLst>
            <a:ext uri="{FF2B5EF4-FFF2-40B4-BE49-F238E27FC236}">
              <a16:creationId xmlns:a16="http://schemas.microsoft.com/office/drawing/2014/main" id="{57F4FBE1-8293-443E-B1E5-7981DAAC7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590551</xdr:colOff>
      <xdr:row>8</xdr:row>
      <xdr:rowOff>114300</xdr:rowOff>
    </xdr:from>
    <xdr:to>
      <xdr:col>14</xdr:col>
      <xdr:colOff>339026</xdr:colOff>
      <xdr:row>23</xdr:row>
      <xdr:rowOff>66675</xdr:rowOff>
    </xdr:to>
    <xdr:graphicFrame macro="">
      <xdr:nvGraphicFramePr>
        <xdr:cNvPr id="8" name="Chart 7">
          <a:extLst>
            <a:ext uri="{FF2B5EF4-FFF2-40B4-BE49-F238E27FC236}">
              <a16:creationId xmlns:a16="http://schemas.microsoft.com/office/drawing/2014/main" id="{DB03B3C8-D51A-45C9-8E19-4613C766F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23</xdr:row>
      <xdr:rowOff>66673</xdr:rowOff>
    </xdr:from>
    <xdr:to>
      <xdr:col>9</xdr:col>
      <xdr:colOff>314325</xdr:colOff>
      <xdr:row>39</xdr:row>
      <xdr:rowOff>66675</xdr:rowOff>
    </xdr:to>
    <xdr:graphicFrame macro="">
      <xdr:nvGraphicFramePr>
        <xdr:cNvPr id="10" name="Chart 9">
          <a:extLst>
            <a:ext uri="{FF2B5EF4-FFF2-40B4-BE49-F238E27FC236}">
              <a16:creationId xmlns:a16="http://schemas.microsoft.com/office/drawing/2014/main" id="{14F21B23-8320-4D89-8540-747ED55D4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304801</xdr:colOff>
      <xdr:row>23</xdr:row>
      <xdr:rowOff>66672</xdr:rowOff>
    </xdr:from>
    <xdr:to>
      <xdr:col>14</xdr:col>
      <xdr:colOff>355168</xdr:colOff>
      <xdr:row>39</xdr:row>
      <xdr:rowOff>76200</xdr:rowOff>
    </xdr:to>
    <xdr:graphicFrame macro="">
      <xdr:nvGraphicFramePr>
        <xdr:cNvPr id="12" name="Chart 11">
          <a:extLst>
            <a:ext uri="{FF2B5EF4-FFF2-40B4-BE49-F238E27FC236}">
              <a16:creationId xmlns:a16="http://schemas.microsoft.com/office/drawing/2014/main" id="{8DA69868-E7BA-4ACD-8AB1-4D7F924BB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274450</xdr:colOff>
      <xdr:row>39</xdr:row>
      <xdr:rowOff>66675</xdr:rowOff>
    </xdr:from>
    <xdr:to>
      <xdr:col>14</xdr:col>
      <xdr:colOff>339025</xdr:colOff>
      <xdr:row>55</xdr:row>
      <xdr:rowOff>66675</xdr:rowOff>
    </xdr:to>
    <xdr:graphicFrame macro="">
      <xdr:nvGraphicFramePr>
        <xdr:cNvPr id="14" name="Chart 13">
          <a:extLst>
            <a:ext uri="{FF2B5EF4-FFF2-40B4-BE49-F238E27FC236}">
              <a16:creationId xmlns:a16="http://schemas.microsoft.com/office/drawing/2014/main" id="{CFA8323A-20BE-458F-835B-21C596033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xdr:colOff>
      <xdr:row>55</xdr:row>
      <xdr:rowOff>57150</xdr:rowOff>
    </xdr:from>
    <xdr:to>
      <xdr:col>8</xdr:col>
      <xdr:colOff>226017</xdr:colOff>
      <xdr:row>71</xdr:row>
      <xdr:rowOff>76200</xdr:rowOff>
    </xdr:to>
    <xdr:graphicFrame macro="">
      <xdr:nvGraphicFramePr>
        <xdr:cNvPr id="16" name="Chart 15">
          <a:extLst>
            <a:ext uri="{FF2B5EF4-FFF2-40B4-BE49-F238E27FC236}">
              <a16:creationId xmlns:a16="http://schemas.microsoft.com/office/drawing/2014/main" id="{F1CE730C-499D-470F-B10F-AFBC6C3DF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242161</xdr:colOff>
      <xdr:row>55</xdr:row>
      <xdr:rowOff>76199</xdr:rowOff>
    </xdr:from>
    <xdr:to>
      <xdr:col>14</xdr:col>
      <xdr:colOff>339025</xdr:colOff>
      <xdr:row>71</xdr:row>
      <xdr:rowOff>64576</xdr:rowOff>
    </xdr:to>
    <xdr:graphicFrame macro="">
      <xdr:nvGraphicFramePr>
        <xdr:cNvPr id="17" name="Chart 16">
          <a:extLst>
            <a:ext uri="{FF2B5EF4-FFF2-40B4-BE49-F238E27FC236}">
              <a16:creationId xmlns:a16="http://schemas.microsoft.com/office/drawing/2014/main" id="{25C8B769-2905-4AC2-A227-FEBDB0732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12594</xdr:colOff>
      <xdr:row>39</xdr:row>
      <xdr:rowOff>66675</xdr:rowOff>
    </xdr:from>
    <xdr:to>
      <xdr:col>6</xdr:col>
      <xdr:colOff>226018</xdr:colOff>
      <xdr:row>55</xdr:row>
      <xdr:rowOff>76200</xdr:rowOff>
    </xdr:to>
    <mc:AlternateContent xmlns:mc="http://schemas.openxmlformats.org/markup-compatibility/2006">
      <mc:Choice xmlns:a14="http://schemas.microsoft.com/office/drawing/2010/main" Requires="a14">
        <xdr:graphicFrame macro="">
          <xdr:nvGraphicFramePr>
            <xdr:cNvPr id="18" name="Weekday">
              <a:extLst>
                <a:ext uri="{FF2B5EF4-FFF2-40B4-BE49-F238E27FC236}">
                  <a16:creationId xmlns:a16="http://schemas.microsoft.com/office/drawing/2014/main" id="{839355EE-55A3-4DA4-957B-9BFACAB5695C}"/>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2046747" y="6992480"/>
              <a:ext cx="2247576" cy="2850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39689</xdr:colOff>
      <xdr:row>4</xdr:row>
      <xdr:rowOff>168672</xdr:rowOff>
    </xdr:from>
    <xdr:to>
      <xdr:col>5</xdr:col>
      <xdr:colOff>248048</xdr:colOff>
      <xdr:row>8</xdr:row>
      <xdr:rowOff>69453</xdr:rowOff>
    </xdr:to>
    <xdr:sp macro="" textlink="">
      <xdr:nvSpPr>
        <xdr:cNvPr id="19" name="TextBox 18">
          <a:extLst>
            <a:ext uri="{FF2B5EF4-FFF2-40B4-BE49-F238E27FC236}">
              <a16:creationId xmlns:a16="http://schemas.microsoft.com/office/drawing/2014/main" id="{8F069DE6-7ECD-4172-8990-E60CA5310FD2}"/>
            </a:ext>
          </a:extLst>
        </xdr:cNvPr>
        <xdr:cNvSpPr txBox="1"/>
      </xdr:nvSpPr>
      <xdr:spPr>
        <a:xfrm>
          <a:off x="2093517" y="883047"/>
          <a:ext cx="1577578" cy="615156"/>
        </a:xfrm>
        <a:prstGeom prst="rect">
          <a:avLst/>
        </a:prstGeom>
        <a:solidFill>
          <a:schemeClr val="tx2">
            <a:lumMod val="25000"/>
            <a:lumOff val="7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a:t>47</a:t>
          </a:r>
          <a:r>
            <a:rPr lang="en-US" sz="1400"/>
            <a:t> </a:t>
          </a:r>
        </a:p>
        <a:p>
          <a:pPr algn="r"/>
          <a:r>
            <a:rPr lang="en-US" sz="1400"/>
            <a:t>ROUTE</a:t>
          </a:r>
        </a:p>
        <a:p>
          <a:pPr algn="r"/>
          <a:endParaRPr lang="en-US" sz="1400"/>
        </a:p>
      </xdr:txBody>
    </xdr:sp>
    <xdr:clientData/>
  </xdr:twoCellAnchor>
  <xdr:twoCellAnchor>
    <xdr:from>
      <xdr:col>5</xdr:col>
      <xdr:colOff>297656</xdr:colOff>
      <xdr:row>4</xdr:row>
      <xdr:rowOff>158750</xdr:rowOff>
    </xdr:from>
    <xdr:to>
      <xdr:col>8</xdr:col>
      <xdr:colOff>39688</xdr:colOff>
      <xdr:row>8</xdr:row>
      <xdr:rowOff>69453</xdr:rowOff>
    </xdr:to>
    <xdr:sp macro="" textlink="">
      <xdr:nvSpPr>
        <xdr:cNvPr id="20" name="TextBox 19">
          <a:extLst>
            <a:ext uri="{FF2B5EF4-FFF2-40B4-BE49-F238E27FC236}">
              <a16:creationId xmlns:a16="http://schemas.microsoft.com/office/drawing/2014/main" id="{1AD28498-4F12-4BDE-B0EF-805DD6D8F0F9}"/>
            </a:ext>
          </a:extLst>
        </xdr:cNvPr>
        <xdr:cNvSpPr txBox="1"/>
      </xdr:nvSpPr>
      <xdr:spPr>
        <a:xfrm>
          <a:off x="3720703" y="873125"/>
          <a:ext cx="1795860" cy="625078"/>
        </a:xfrm>
        <a:prstGeom prst="rect">
          <a:avLst/>
        </a:prstGeom>
        <a:solidFill>
          <a:schemeClr val="tx2">
            <a:lumMod val="25000"/>
            <a:lumOff val="7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a:t>2349</a:t>
          </a:r>
        </a:p>
        <a:p>
          <a:pPr algn="r"/>
          <a:r>
            <a:rPr lang="en-US" sz="1400"/>
            <a:t>NO. OF PASSENGERS</a:t>
          </a:r>
        </a:p>
      </xdr:txBody>
    </xdr:sp>
    <xdr:clientData/>
  </xdr:twoCellAnchor>
  <xdr:twoCellAnchor>
    <xdr:from>
      <xdr:col>8</xdr:col>
      <xdr:colOff>89297</xdr:colOff>
      <xdr:row>4</xdr:row>
      <xdr:rowOff>148828</xdr:rowOff>
    </xdr:from>
    <xdr:to>
      <xdr:col>11</xdr:col>
      <xdr:colOff>119063</xdr:colOff>
      <xdr:row>8</xdr:row>
      <xdr:rowOff>59531</xdr:rowOff>
    </xdr:to>
    <xdr:sp macro="" textlink="">
      <xdr:nvSpPr>
        <xdr:cNvPr id="25" name="TextBox 24">
          <a:extLst>
            <a:ext uri="{FF2B5EF4-FFF2-40B4-BE49-F238E27FC236}">
              <a16:creationId xmlns:a16="http://schemas.microsoft.com/office/drawing/2014/main" id="{3FEE75A0-B209-4636-9844-F45670A48AA4}"/>
            </a:ext>
          </a:extLst>
        </xdr:cNvPr>
        <xdr:cNvSpPr txBox="1"/>
      </xdr:nvSpPr>
      <xdr:spPr>
        <a:xfrm>
          <a:off x="5566172" y="863203"/>
          <a:ext cx="2083594" cy="625078"/>
        </a:xfrm>
        <a:prstGeom prst="rect">
          <a:avLst/>
        </a:prstGeom>
        <a:solidFill>
          <a:schemeClr val="tx2">
            <a:lumMod val="25000"/>
            <a:lumOff val="7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a:t>13121.95</a:t>
          </a:r>
        </a:p>
        <a:p>
          <a:pPr algn="r"/>
          <a:r>
            <a:rPr lang="en-US" sz="1400"/>
            <a:t>FUEL(LITRS)</a:t>
          </a:r>
        </a:p>
      </xdr:txBody>
    </xdr:sp>
    <xdr:clientData/>
  </xdr:twoCellAnchor>
  <xdr:twoCellAnchor>
    <xdr:from>
      <xdr:col>11</xdr:col>
      <xdr:colOff>168672</xdr:colOff>
      <xdr:row>4</xdr:row>
      <xdr:rowOff>138906</xdr:rowOff>
    </xdr:from>
    <xdr:to>
      <xdr:col>14</xdr:col>
      <xdr:colOff>327422</xdr:colOff>
      <xdr:row>8</xdr:row>
      <xdr:rowOff>59531</xdr:rowOff>
    </xdr:to>
    <xdr:sp macro="" textlink="">
      <xdr:nvSpPr>
        <xdr:cNvPr id="29" name="TextBox 28">
          <a:extLst>
            <a:ext uri="{FF2B5EF4-FFF2-40B4-BE49-F238E27FC236}">
              <a16:creationId xmlns:a16="http://schemas.microsoft.com/office/drawing/2014/main" id="{EC838218-8932-4C86-A136-C8BA538D6C82}"/>
            </a:ext>
          </a:extLst>
        </xdr:cNvPr>
        <xdr:cNvSpPr txBox="1"/>
      </xdr:nvSpPr>
      <xdr:spPr>
        <a:xfrm>
          <a:off x="7699375" y="853281"/>
          <a:ext cx="2212578" cy="635000"/>
        </a:xfrm>
        <a:prstGeom prst="rect">
          <a:avLst/>
        </a:prstGeom>
        <a:solidFill>
          <a:schemeClr val="tx2">
            <a:lumMod val="25000"/>
            <a:lumOff val="7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a:t>2700</a:t>
          </a:r>
        </a:p>
        <a:p>
          <a:pPr algn="r"/>
          <a:r>
            <a:rPr lang="en-US" sz="1400"/>
            <a:t>TOTAL NO.</a:t>
          </a:r>
          <a:r>
            <a:rPr lang="en-US" sz="1400" baseline="0"/>
            <a:t> OF PASSENGERS</a:t>
          </a:r>
          <a:endParaRPr lang="en-US"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mikun badmus" refreshedDate="45868.515613310185" createdVersion="6" refreshedVersion="6" minRefreshableVersion="3" recordCount="150" xr:uid="{FC15D883-A806-4856-978A-A09E36A21863}">
  <cacheSource type="worksheet">
    <worksheetSource ref="A1:Z151" sheet="Sheet1"/>
  </cacheSource>
  <cacheFields count="26">
    <cacheField name="Date" numFmtId="14">
      <sharedItems containsSemiMixedTypes="0" containsNonDate="0" containsDate="1" containsString="0" minDate="2023-05-01T00:00:00" maxDate="2023-10-01T00:00:00"/>
    </cacheField>
    <cacheField name="Weekday" numFmtId="14">
      <sharedItems count="7">
        <s v="Monday"/>
        <s v="Wednesday"/>
        <s v="Thursday"/>
        <s v="Friday"/>
        <s v="Saturday"/>
        <s v="Sunday"/>
        <s v="Tuesday"/>
      </sharedItems>
    </cacheField>
    <cacheField name="Bus ID" numFmtId="0">
      <sharedItems/>
    </cacheField>
    <cacheField name="Route Start" numFmtId="0">
      <sharedItems/>
    </cacheField>
    <cacheField name="Route End" numFmtId="0">
      <sharedItems/>
    </cacheField>
    <cacheField name="Route" numFmtId="0">
      <sharedItems count="47">
        <s v="Enugu-Abuja"/>
        <s v="Kaduna-Kano"/>
        <s v="Kaduna-Port Harcourt"/>
        <s v="Benin-Kaduna"/>
        <s v="Abuja-Enugu"/>
        <s v="Lagos-Abuja"/>
        <s v="Lagos-Kano"/>
        <s v="Abuja-Lagos"/>
        <s v="Port Harcourt-Kaduna"/>
        <s v="Port Harcourt-Enugu"/>
        <s v="Port Harcourt-Lagos"/>
        <s v="Enugu-Kaduna"/>
        <s v="Lagos-Benin"/>
        <s v="Enugu-Lagos"/>
        <s v="Benin-Port Harcourt"/>
        <s v="Kano-Port Harcourt"/>
        <s v="Abuja-Ibadan"/>
        <s v="Ibadan-Enugu"/>
        <s v="Abuja-Benin"/>
        <s v="Lagos-Ibadan"/>
        <s v="Kano-Lagos"/>
        <s v="Port Harcourt-Ibadan"/>
        <s v="Benin-Lagos"/>
        <s v="Ibadan-Abuja"/>
        <s v="Kano-Enugu"/>
        <s v="Port Harcourt-Benin"/>
        <s v="Enugu-Benin"/>
        <s v="Lagos-Port Harcourt"/>
        <s v="Kaduna-Benin"/>
        <s v="Kaduna-Lagos"/>
        <s v="Ibadan-Kano"/>
        <s v="Lagos-Kaduna"/>
        <s v="Kano-Abuja"/>
        <s v="Port Harcourt-Abuja"/>
        <s v="Kano-Kaduna"/>
        <s v="Abuja-Kaduna"/>
        <s v="Abuja-Kano"/>
        <s v="Kaduna-Ibadan"/>
        <s v="Benin-Abuja"/>
        <s v="Port Harcourt-Kano"/>
        <s v="Benin-Ibadan"/>
        <s v="Ibadan-Lagos"/>
        <s v="Kano-Ibadan"/>
        <s v="Ibadan-Port Harcourt"/>
        <s v="Kaduna-Enugu"/>
        <s v="Enugu-Ibadan"/>
        <s v="Enugu-Port Harcourt"/>
      </sharedItems>
    </cacheField>
    <cacheField name="Departure Time" numFmtId="164">
      <sharedItems containsSemiMixedTypes="0" containsNonDate="0" containsDate="1" containsString="0" minDate="1899-12-30T05:01:00" maxDate="1899-12-30T10:57:00"/>
    </cacheField>
    <cacheField name="Estimated Travel Time" numFmtId="164">
      <sharedItems containsSemiMixedTypes="0" containsNonDate="0" containsDate="1" containsString="0" minDate="1899-12-30T01:38:00" maxDate="1899-12-30T16:45:00"/>
    </cacheField>
    <cacheField name="Actual Arrival Time" numFmtId="164">
      <sharedItems containsSemiMixedTypes="0" containsNonDate="0" containsDate="1" containsString="0" minDate="1899-12-30T07:05:00" maxDate="1899-12-31T02:21:00"/>
    </cacheField>
    <cacheField name="Distance (km)" numFmtId="0">
      <sharedItems containsSemiMixedTypes="0" containsString="0" containsNumber="1" containsInteger="1" minValue="130" maxValue="980"/>
    </cacheField>
    <cacheField name="Number of Passengers" numFmtId="0">
      <sharedItems containsSemiMixedTypes="0" containsString="0" containsNumber="1" containsInteger="1" minValue="13" maxValue="18"/>
    </cacheField>
    <cacheField name="Gender" numFmtId="0">
      <sharedItems count="2">
        <s v="Male"/>
        <s v="Female"/>
      </sharedItems>
    </cacheField>
    <cacheField name="Fare per Passenger (NGN)" numFmtId="165">
      <sharedItems containsSemiMixedTypes="0" containsString="0" containsNumber="1" containsInteger="1" minValue="3000" maxValue="25323"/>
    </cacheField>
    <cacheField name="Driver ID" numFmtId="0">
      <sharedItems/>
    </cacheField>
    <cacheField name="Bus Capacity" numFmtId="0">
      <sharedItems containsSemiMixedTypes="0" containsString="0" containsNumber="1" containsInteger="1" minValue="18" maxValue="18"/>
    </cacheField>
    <cacheField name="Fuel Consumption (Liters)" numFmtId="0">
      <sharedItems containsSemiMixedTypes="0" containsString="0" containsNumber="1" minValue="19" maxValue="148.33000000000001" count="47">
        <n v="54"/>
        <n v="29"/>
        <n v="114"/>
        <n v="79"/>
        <n v="53"/>
        <n v="109"/>
        <n v="119"/>
        <n v="121"/>
        <n v="50"/>
        <n v="102.5"/>
        <n v="105.83"/>
        <n v="96.67"/>
        <n v="139.16999999999999"/>
        <n v="46"/>
        <n v="88.33"/>
        <n v="75"/>
        <n v="148.33000000000001"/>
        <n v="89.17"/>
        <n v="125"/>
        <n v="83.33"/>
        <n v="21.67"/>
        <n v="139"/>
        <n v="103.33"/>
        <n v="53.33"/>
        <n v="112.5"/>
        <n v="48.33"/>
        <n v="108.33"/>
        <n v="143.33000000000001"/>
        <n v="51"/>
        <n v="98.33"/>
        <n v="38.33"/>
        <n v="30"/>
        <n v="60"/>
        <n v="145"/>
        <n v="57"/>
        <n v="45"/>
        <n v="19"/>
        <n v="115"/>
        <n v="59"/>
        <n v="80"/>
        <n v="86"/>
        <n v="36"/>
        <n v="67"/>
        <n v="96"/>
        <n v="111"/>
        <n v="84"/>
        <n v="39"/>
      </sharedItems>
    </cacheField>
    <cacheField name="Price of fuel per litre" numFmtId="165">
      <sharedItems containsSemiMixedTypes="0" containsString="0" containsNumber="1" containsInteger="1" minValue="170" maxValue="175"/>
    </cacheField>
    <cacheField name="Traffic Delay (minutes)" numFmtId="0">
      <sharedItems containsSemiMixedTypes="0" containsString="0" containsNumber="1" containsInteger="1" minValue="0" maxValue="60"/>
    </cacheField>
    <cacheField name="Maintenance Issue" numFmtId="0">
      <sharedItems/>
    </cacheField>
    <cacheField name="Total Fare (NGN)" numFmtId="165">
      <sharedItems containsSemiMixedTypes="0" containsString="0" containsNumber="1" containsInteger="1" minValue="39000" maxValue="455814"/>
    </cacheField>
    <cacheField name="Actual Fuel Cost" numFmtId="165">
      <sharedItems containsSemiMixedTypes="0" containsString="0" containsNumber="1" minValue="3325" maxValue="25957.750000000004"/>
    </cacheField>
    <cacheField name="Cost of Transportation" numFmtId="165">
      <sharedItems containsSemiMixedTypes="0" containsString="0" containsNumber="1" minValue="30330" maxValue="429856.25"/>
    </cacheField>
    <cacheField name="Drivers allowance per Day" numFmtId="165">
      <sharedItems containsSemiMixedTypes="0" containsString="0" containsNumber="1" containsInteger="1" minValue="3000" maxValue="3000"/>
    </cacheField>
    <cacheField name="Actual Cost of Transportation" numFmtId="165">
      <sharedItems containsSemiMixedTypes="0" containsString="0" containsNumber="1" minValue="27330" maxValue="426856.25"/>
    </cacheField>
    <cacheField name="Customer Rating" numFmtId="1">
      <sharedItems containsSemiMixedTypes="0" containsString="0" containsNumber="1" containsInteger="1" minValue="1" maxValue="5"/>
    </cacheField>
    <cacheField name="Customer_Rating_categorized" numFmtId="0">
      <sharedItems count="5">
        <s v="Satisfied"/>
        <s v="Very Dissatisfied"/>
        <s v="Very Satisfied"/>
        <s v="Neutral"/>
        <s v="Dissatisfied"/>
      </sharedItems>
    </cacheField>
  </cacheFields>
  <extLst>
    <ext xmlns:x14="http://schemas.microsoft.com/office/spreadsheetml/2009/9/main" uri="{725AE2AE-9491-48be-B2B4-4EB974FC3084}">
      <x14:pivotCacheDefinition pivotCacheId="549199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d v="2023-05-01T00:00:00"/>
    <x v="0"/>
    <s v="B007"/>
    <s v="Enugu"/>
    <s v="Abuja"/>
    <x v="0"/>
    <d v="1899-12-30T08:40:00"/>
    <d v="1899-12-30T07:30:00"/>
    <d v="1899-12-30T16:10:00"/>
    <n v="440"/>
    <n v="18"/>
    <x v="0"/>
    <n v="11500"/>
    <s v="D004"/>
    <n v="18"/>
    <x v="0"/>
    <n v="170"/>
    <n v="7"/>
    <s v="AC Issue"/>
    <n v="207000"/>
    <n v="9180"/>
    <n v="197820"/>
    <n v="3000"/>
    <n v="194820"/>
    <n v="4"/>
    <x v="0"/>
  </r>
  <r>
    <d v="2023-05-01T00:00:00"/>
    <x v="0"/>
    <s v="B004"/>
    <s v="Kaduna"/>
    <s v="Kano"/>
    <x v="1"/>
    <d v="1899-12-30T06:38:00"/>
    <d v="1899-12-30T03:00:00"/>
    <d v="1899-12-30T09:38:00"/>
    <n v="230"/>
    <n v="18"/>
    <x v="0"/>
    <n v="4000"/>
    <s v="D002"/>
    <n v="18"/>
    <x v="1"/>
    <n v="170"/>
    <n v="55"/>
    <s v="None"/>
    <n v="72000"/>
    <n v="4930"/>
    <n v="67070"/>
    <n v="3000"/>
    <n v="64070"/>
    <n v="4"/>
    <x v="0"/>
  </r>
  <r>
    <d v="2023-05-03T00:00:00"/>
    <x v="1"/>
    <s v="B014"/>
    <s v="Kaduna"/>
    <s v="Port Harcourt"/>
    <x v="2"/>
    <d v="1899-12-30T05:35:00"/>
    <d v="1899-12-30T12:30:00"/>
    <d v="1899-12-30T18:05:00"/>
    <n v="800"/>
    <n v="13"/>
    <x v="1"/>
    <n v="15000"/>
    <s v="D001"/>
    <n v="18"/>
    <x v="2"/>
    <n v="170"/>
    <n v="14"/>
    <s v="None"/>
    <n v="195000"/>
    <n v="19380"/>
    <n v="175620"/>
    <n v="3000"/>
    <n v="172620"/>
    <n v="1"/>
    <x v="1"/>
  </r>
  <r>
    <d v="2023-05-04T00:00:00"/>
    <x v="2"/>
    <s v="B008"/>
    <s v="Benin"/>
    <s v="Kaduna"/>
    <x v="3"/>
    <d v="1899-12-30T09:42:00"/>
    <d v="1899-12-30T11:00:00"/>
    <d v="1899-12-30T20:42:00"/>
    <n v="550"/>
    <n v="17"/>
    <x v="1"/>
    <n v="12000"/>
    <s v="D002"/>
    <n v="18"/>
    <x v="3"/>
    <n v="170"/>
    <n v="59"/>
    <s v="None"/>
    <n v="204000"/>
    <n v="13430"/>
    <n v="190570"/>
    <n v="3000"/>
    <n v="187570"/>
    <n v="5"/>
    <x v="2"/>
  </r>
  <r>
    <d v="2023-05-05T00:00:00"/>
    <x v="3"/>
    <s v="B002"/>
    <s v="Abuja"/>
    <s v="Enugu"/>
    <x v="4"/>
    <d v="1899-12-30T09:33:00"/>
    <d v="1899-12-30T08:30:00"/>
    <d v="1899-12-30T18:03:00"/>
    <n v="370"/>
    <n v="16"/>
    <x v="0"/>
    <n v="10000"/>
    <s v="D001"/>
    <n v="18"/>
    <x v="4"/>
    <n v="170"/>
    <n v="59"/>
    <s v="None"/>
    <n v="160000"/>
    <n v="9010"/>
    <n v="150990"/>
    <n v="3000"/>
    <n v="147990"/>
    <n v="3"/>
    <x v="3"/>
  </r>
  <r>
    <d v="2023-05-06T00:00:00"/>
    <x v="4"/>
    <s v="B011"/>
    <s v="Lagos"/>
    <s v="Abuja"/>
    <x v="5"/>
    <d v="1899-12-30T08:12:00"/>
    <d v="1899-12-30T10:30:00"/>
    <d v="1899-12-30T18:42:00"/>
    <n v="760"/>
    <n v="17"/>
    <x v="1"/>
    <n v="18000"/>
    <s v="D008"/>
    <n v="18"/>
    <x v="5"/>
    <n v="170"/>
    <n v="48"/>
    <s v="Engine Check"/>
    <n v="306000"/>
    <n v="18530"/>
    <n v="287470"/>
    <n v="3000"/>
    <n v="284470"/>
    <n v="5"/>
    <x v="2"/>
  </r>
  <r>
    <d v="2023-05-07T00:00:00"/>
    <x v="5"/>
    <s v="B012"/>
    <s v="Lagos"/>
    <s v="Kano"/>
    <x v="6"/>
    <d v="1899-12-30T10:51:00"/>
    <d v="1899-12-30T15:30:00"/>
    <d v="1899-12-31T02:21:00"/>
    <n v="980"/>
    <n v="14"/>
    <x v="0"/>
    <n v="22000"/>
    <s v="D002"/>
    <n v="18"/>
    <x v="6"/>
    <n v="170"/>
    <n v="34"/>
    <s v="Tire Change"/>
    <n v="308000"/>
    <n v="20230"/>
    <n v="287770"/>
    <n v="3000"/>
    <n v="284770"/>
    <n v="2"/>
    <x v="4"/>
  </r>
  <r>
    <d v="2023-05-10T00:00:00"/>
    <x v="1"/>
    <s v="B010"/>
    <s v="Abuja"/>
    <s v="Lagos"/>
    <x v="7"/>
    <d v="1899-12-30T07:42:00"/>
    <d v="1899-12-30T12:30:00"/>
    <d v="1899-12-30T20:12:00"/>
    <n v="760"/>
    <n v="15"/>
    <x v="1"/>
    <n v="16000"/>
    <s v="D005"/>
    <n v="18"/>
    <x v="5"/>
    <n v="170"/>
    <n v="49"/>
    <s v="AC Issue"/>
    <n v="240000"/>
    <n v="18530"/>
    <n v="221470"/>
    <n v="3000"/>
    <n v="218470"/>
    <n v="5"/>
    <x v="2"/>
  </r>
  <r>
    <d v="2023-05-10T00:00:00"/>
    <x v="1"/>
    <s v="B009"/>
    <s v="Port Harcourt"/>
    <s v="Kaduna"/>
    <x v="8"/>
    <d v="1899-12-30T06:37:00"/>
    <d v="1899-12-30T16:00:00"/>
    <d v="1899-12-30T22:37:00"/>
    <n v="850"/>
    <n v="17"/>
    <x v="0"/>
    <n v="18000"/>
    <s v="D005"/>
    <n v="18"/>
    <x v="7"/>
    <n v="170"/>
    <n v="47"/>
    <s v="AC Issue"/>
    <n v="306000"/>
    <n v="20570"/>
    <n v="285430"/>
    <n v="3000"/>
    <n v="282430"/>
    <n v="1"/>
    <x v="1"/>
  </r>
  <r>
    <d v="2023-05-12T00:00:00"/>
    <x v="3"/>
    <s v="B011"/>
    <s v="Enugu"/>
    <s v="Abuja"/>
    <x v="0"/>
    <d v="1899-12-30T05:34:00"/>
    <d v="1899-12-30T06:45:00"/>
    <d v="1899-12-30T12:19:00"/>
    <n v="250"/>
    <n v="16"/>
    <x v="0"/>
    <n v="7000"/>
    <s v="D003"/>
    <n v="18"/>
    <x v="0"/>
    <n v="170"/>
    <n v="60"/>
    <s v="AC Issue"/>
    <n v="112000"/>
    <n v="9180"/>
    <n v="102820"/>
    <n v="3000"/>
    <n v="99820"/>
    <n v="3"/>
    <x v="3"/>
  </r>
  <r>
    <d v="2023-05-12T00:00:00"/>
    <x v="3"/>
    <s v="B007"/>
    <s v="Port Harcourt"/>
    <s v="Enugu"/>
    <x v="9"/>
    <d v="1899-12-30T10:43:00"/>
    <d v="1899-12-30T11:45:00"/>
    <d v="1899-12-30T22:28:00"/>
    <n v="600"/>
    <n v="14"/>
    <x v="1"/>
    <n v="12000"/>
    <s v="D006"/>
    <n v="18"/>
    <x v="8"/>
    <n v="170"/>
    <n v="20"/>
    <s v="AC Issue"/>
    <n v="168000"/>
    <n v="8500"/>
    <n v="159500"/>
    <n v="3000"/>
    <n v="156500"/>
    <n v="3"/>
    <x v="3"/>
  </r>
  <r>
    <d v="2023-05-13T00:00:00"/>
    <x v="4"/>
    <s v="B003"/>
    <s v="Port Harcourt"/>
    <s v="Lagos"/>
    <x v="10"/>
    <d v="1899-12-30T06:53:00"/>
    <d v="1899-12-30T12:00:00"/>
    <d v="1899-12-30T18:53:00"/>
    <n v="590"/>
    <n v="15"/>
    <x v="0"/>
    <n v="16000"/>
    <s v="D003"/>
    <n v="18"/>
    <x v="9"/>
    <n v="170"/>
    <n v="25"/>
    <s v="AC Issue"/>
    <n v="240000"/>
    <n v="17425"/>
    <n v="222575"/>
    <n v="3000"/>
    <n v="219575"/>
    <n v="4"/>
    <x v="0"/>
  </r>
  <r>
    <d v="2023-05-14T00:00:00"/>
    <x v="5"/>
    <s v="B014"/>
    <s v="Enugu"/>
    <s v="Kaduna"/>
    <x v="11"/>
    <d v="1899-12-30T06:26:00"/>
    <d v="1899-12-30T06:00:00"/>
    <d v="1899-12-30T12:26:00"/>
    <n v="320"/>
    <n v="14"/>
    <x v="1"/>
    <n v="6000"/>
    <s v="D010"/>
    <n v="18"/>
    <x v="10"/>
    <n v="170"/>
    <n v="48"/>
    <s v="None"/>
    <n v="84000"/>
    <n v="17991.099999999999"/>
    <n v="66008.899999999994"/>
    <n v="3000"/>
    <n v="63008.899999999994"/>
    <n v="5"/>
    <x v="2"/>
  </r>
  <r>
    <d v="2023-05-14T00:00:00"/>
    <x v="5"/>
    <s v="B013"/>
    <s v="Benin"/>
    <s v="Kaduna"/>
    <x v="3"/>
    <d v="1899-12-30T07:18:00"/>
    <d v="1899-12-30T09:30:00"/>
    <d v="1899-12-30T16:48:00"/>
    <n v="560"/>
    <n v="17"/>
    <x v="1"/>
    <n v="12000"/>
    <s v="D004"/>
    <n v="18"/>
    <x v="11"/>
    <n v="170"/>
    <n v="49"/>
    <s v="Tire Change"/>
    <n v="204000"/>
    <n v="16433.900000000001"/>
    <n v="187566.1"/>
    <n v="3000"/>
    <n v="184566.1"/>
    <n v="2"/>
    <x v="4"/>
  </r>
  <r>
    <d v="2023-05-16T00:00:00"/>
    <x v="6"/>
    <s v="B008"/>
    <s v="Lagos"/>
    <s v="Kano"/>
    <x v="6"/>
    <d v="1899-12-30T10:37:00"/>
    <d v="1899-12-30T06:00:00"/>
    <d v="1899-12-30T16:37:00"/>
    <n v="410"/>
    <n v="17"/>
    <x v="1"/>
    <n v="6000"/>
    <s v="D008"/>
    <n v="18"/>
    <x v="12"/>
    <n v="170"/>
    <n v="46"/>
    <s v="Engine Check"/>
    <n v="102000"/>
    <n v="23658.899999999998"/>
    <n v="78341.100000000006"/>
    <n v="3000"/>
    <n v="75341.100000000006"/>
    <n v="5"/>
    <x v="2"/>
  </r>
  <r>
    <d v="2023-05-16T00:00:00"/>
    <x v="6"/>
    <s v="B010"/>
    <s v="Lagos"/>
    <s v="Benin"/>
    <x v="12"/>
    <d v="1899-12-30T05:26:00"/>
    <d v="1899-12-30T16:45:00"/>
    <d v="1899-12-30T22:11:00"/>
    <n v="900"/>
    <n v="16"/>
    <x v="0"/>
    <n v="19000"/>
    <s v="D001"/>
    <n v="18"/>
    <x v="13"/>
    <n v="170"/>
    <n v="4"/>
    <s v="Tire Change"/>
    <n v="304000"/>
    <n v="7820"/>
    <n v="296180"/>
    <n v="3000"/>
    <n v="293180"/>
    <n v="2"/>
    <x v="4"/>
  </r>
  <r>
    <d v="2023-05-17T00:00:00"/>
    <x v="1"/>
    <s v="B014"/>
    <s v="Enugu"/>
    <s v="Lagos"/>
    <x v="13"/>
    <d v="1899-12-30T09:15:00"/>
    <d v="1899-12-30T09:00:00"/>
    <d v="1899-12-30T18:15:00"/>
    <n v="520"/>
    <n v="17"/>
    <x v="1"/>
    <n v="10000"/>
    <s v="D007"/>
    <n v="18"/>
    <x v="14"/>
    <n v="170"/>
    <n v="8"/>
    <s v="Engine Check"/>
    <n v="170000"/>
    <n v="15016.1"/>
    <n v="154983.9"/>
    <n v="3000"/>
    <n v="151983.9"/>
    <n v="5"/>
    <x v="2"/>
  </r>
  <r>
    <d v="2023-05-18T00:00:00"/>
    <x v="2"/>
    <s v="B007"/>
    <s v="Benin"/>
    <s v="Port Harcourt"/>
    <x v="14"/>
    <d v="1899-12-30T05:15:00"/>
    <d v="1899-12-30T10:00:00"/>
    <d v="1899-12-30T15:15:00"/>
    <n v="470"/>
    <n v="18"/>
    <x v="0"/>
    <n v="12000"/>
    <s v="D007"/>
    <n v="18"/>
    <x v="15"/>
    <n v="170"/>
    <n v="27"/>
    <s v="Tire Change"/>
    <n v="216000"/>
    <n v="12750"/>
    <n v="203250"/>
    <n v="3000"/>
    <n v="200250"/>
    <n v="5"/>
    <x v="2"/>
  </r>
  <r>
    <d v="2023-05-20T00:00:00"/>
    <x v="4"/>
    <s v="B002"/>
    <s v="Kano"/>
    <s v="Port Harcourt"/>
    <x v="15"/>
    <d v="1899-12-30T09:15:00"/>
    <d v="1899-12-30T08:00:00"/>
    <d v="1899-12-30T17:15:00"/>
    <n v="400"/>
    <n v="15"/>
    <x v="1"/>
    <n v="10000"/>
    <s v="D002"/>
    <n v="18"/>
    <x v="16"/>
    <n v="170"/>
    <n v="7"/>
    <s v="AC Issue"/>
    <n v="150000"/>
    <n v="25216.100000000002"/>
    <n v="124783.9"/>
    <n v="3000"/>
    <n v="121783.9"/>
    <n v="3"/>
    <x v="3"/>
  </r>
  <r>
    <d v="2023-05-23T00:00:00"/>
    <x v="6"/>
    <s v="B010"/>
    <s v="Abuja"/>
    <s v="Ibadan"/>
    <x v="16"/>
    <d v="1899-12-30T06:33:00"/>
    <d v="1899-12-30T03:00:00"/>
    <d v="1899-12-30T09:33:00"/>
    <n v="130"/>
    <n v="18"/>
    <x v="0"/>
    <n v="3000"/>
    <s v="D003"/>
    <n v="18"/>
    <x v="11"/>
    <n v="170"/>
    <n v="15"/>
    <s v="AC Issue"/>
    <n v="54000"/>
    <n v="16433.900000000001"/>
    <n v="37566.1"/>
    <n v="3000"/>
    <n v="34566.1"/>
    <n v="4"/>
    <x v="0"/>
  </r>
  <r>
    <d v="2023-05-25T00:00:00"/>
    <x v="2"/>
    <s v="B004"/>
    <s v="Ibadan"/>
    <s v="Enugu"/>
    <x v="17"/>
    <d v="1899-12-30T05:16:00"/>
    <d v="1899-12-30T16:00:00"/>
    <d v="1899-12-30T21:16:00"/>
    <n v="970"/>
    <n v="18"/>
    <x v="0"/>
    <n v="22000"/>
    <s v="D007"/>
    <n v="18"/>
    <x v="17"/>
    <n v="170"/>
    <n v="38"/>
    <s v="Engine Check"/>
    <n v="396000"/>
    <n v="15158.9"/>
    <n v="380841.1"/>
    <n v="3000"/>
    <n v="377841.1"/>
    <n v="1"/>
    <x v="1"/>
  </r>
  <r>
    <d v="2023-05-25T00:00:00"/>
    <x v="2"/>
    <s v="B014"/>
    <s v="Abuja"/>
    <s v="Lagos"/>
    <x v="7"/>
    <d v="1899-12-30T10:15:00"/>
    <d v="1899-12-30T11:00:00"/>
    <d v="1899-12-30T21:15:00"/>
    <n v="600"/>
    <n v="13"/>
    <x v="1"/>
    <n v="15000"/>
    <s v="D008"/>
    <n v="18"/>
    <x v="18"/>
    <n v="170"/>
    <n v="8"/>
    <s v="Engine Check"/>
    <n v="195000"/>
    <n v="21250"/>
    <n v="173750"/>
    <n v="3000"/>
    <n v="170750"/>
    <n v="5"/>
    <x v="2"/>
  </r>
  <r>
    <d v="2023-05-27T00:00:00"/>
    <x v="4"/>
    <s v="B001"/>
    <s v="Abuja"/>
    <s v="Benin"/>
    <x v="18"/>
    <d v="1899-12-30T09:07:00"/>
    <d v="1899-12-30T06:00:00"/>
    <d v="1899-12-30T15:07:00"/>
    <n v="320"/>
    <n v="18"/>
    <x v="0"/>
    <n v="5500"/>
    <s v="D007"/>
    <n v="18"/>
    <x v="19"/>
    <n v="170"/>
    <n v="6"/>
    <s v="Tire Change"/>
    <n v="99000"/>
    <n v="14166.1"/>
    <n v="84833.9"/>
    <n v="3000"/>
    <n v="81833.899999999994"/>
    <n v="3"/>
    <x v="3"/>
  </r>
  <r>
    <d v="2023-05-27T00:00:00"/>
    <x v="4"/>
    <s v="B006"/>
    <s v="Lagos"/>
    <s v="Benin"/>
    <x v="12"/>
    <d v="1899-12-30T09:51:00"/>
    <d v="1899-12-30T09:00:00"/>
    <d v="1899-12-30T18:51:00"/>
    <n v="520"/>
    <n v="16"/>
    <x v="1"/>
    <n v="11000"/>
    <s v="D009"/>
    <n v="18"/>
    <x v="13"/>
    <n v="170"/>
    <n v="27"/>
    <s v="None"/>
    <n v="176000"/>
    <n v="7820"/>
    <n v="168180"/>
    <n v="3000"/>
    <n v="165180"/>
    <n v="5"/>
    <x v="2"/>
  </r>
  <r>
    <d v="2023-05-28T00:00:00"/>
    <x v="5"/>
    <s v="B012"/>
    <s v="Lagos"/>
    <s v="Ibadan"/>
    <x v="19"/>
    <d v="1899-12-30T10:05:00"/>
    <d v="1899-12-30T14:00:00"/>
    <d v="1899-12-31T00:05:00"/>
    <n v="760"/>
    <n v="16"/>
    <x v="1"/>
    <n v="16000"/>
    <s v="D010"/>
    <n v="18"/>
    <x v="20"/>
    <n v="170"/>
    <n v="48"/>
    <s v="Tire Change"/>
    <n v="256000"/>
    <n v="3683.9"/>
    <n v="252316.1"/>
    <n v="3000"/>
    <n v="249316.1"/>
    <n v="2"/>
    <x v="4"/>
  </r>
  <r>
    <d v="2023-05-30T00:00:00"/>
    <x v="6"/>
    <s v="B002"/>
    <s v="Kano"/>
    <s v="Lagos"/>
    <x v="20"/>
    <d v="1899-12-30T05:17:00"/>
    <d v="1899-12-30T06:00:00"/>
    <d v="1899-12-30T11:17:00"/>
    <n v="410"/>
    <n v="14"/>
    <x v="0"/>
    <n v="6000"/>
    <s v="D006"/>
    <n v="18"/>
    <x v="21"/>
    <n v="170"/>
    <n v="19"/>
    <s v="AC Issue"/>
    <n v="84000"/>
    <n v="23630"/>
    <n v="60370"/>
    <n v="3000"/>
    <n v="57370"/>
    <n v="2"/>
    <x v="4"/>
  </r>
  <r>
    <d v="2023-06-01T00:00:00"/>
    <x v="2"/>
    <s v="B008"/>
    <s v="Benin"/>
    <s v="Port Harcourt"/>
    <x v="14"/>
    <d v="1899-12-30T05:51:00"/>
    <d v="1899-12-30T07:00:00"/>
    <d v="1899-12-30T12:51:00"/>
    <n v="380"/>
    <n v="18"/>
    <x v="0"/>
    <n v="7000"/>
    <s v="D006"/>
    <n v="18"/>
    <x v="15"/>
    <n v="170"/>
    <n v="36"/>
    <s v="AC Issue"/>
    <n v="126000"/>
    <n v="12750"/>
    <n v="113250"/>
    <n v="3000"/>
    <n v="110250"/>
    <n v="1"/>
    <x v="1"/>
  </r>
  <r>
    <d v="2023-06-05T00:00:00"/>
    <x v="0"/>
    <s v="B013"/>
    <s v="Port Harcourt"/>
    <s v="Ibadan"/>
    <x v="21"/>
    <d v="1899-12-30T05:01:00"/>
    <d v="1899-12-30T11:00:00"/>
    <d v="1899-12-30T16:01:00"/>
    <n v="600"/>
    <n v="16"/>
    <x v="0"/>
    <n v="16000"/>
    <s v="D009"/>
    <n v="18"/>
    <x v="22"/>
    <n v="170"/>
    <n v="2"/>
    <s v="Engine Check"/>
    <n v="256000"/>
    <n v="17566.099999999999"/>
    <n v="238433.9"/>
    <n v="3000"/>
    <n v="235433.9"/>
    <n v="4"/>
    <x v="0"/>
  </r>
  <r>
    <d v="2023-06-09T00:00:00"/>
    <x v="3"/>
    <s v="B007"/>
    <s v="Benin"/>
    <s v="Lagos"/>
    <x v="22"/>
    <d v="1899-12-30T10:24:00"/>
    <d v="1899-12-30T11:00:00"/>
    <d v="1899-12-30T21:24:00"/>
    <n v="550"/>
    <n v="18"/>
    <x v="1"/>
    <n v="18000"/>
    <s v="D003"/>
    <n v="18"/>
    <x v="23"/>
    <n v="170"/>
    <n v="8"/>
    <s v="Tire Change"/>
    <n v="324000"/>
    <n v="9066.1"/>
    <n v="314933.90000000002"/>
    <n v="3000"/>
    <n v="311933.90000000002"/>
    <n v="5"/>
    <x v="2"/>
  </r>
  <r>
    <d v="2023-06-09T00:00:00"/>
    <x v="3"/>
    <s v="B003"/>
    <s v="Ibadan"/>
    <s v="Abuja"/>
    <x v="23"/>
    <d v="1899-12-30T08:17:00"/>
    <d v="1899-12-30T14:00:00"/>
    <d v="1899-12-30T22:17:00"/>
    <n v="780"/>
    <n v="14"/>
    <x v="0"/>
    <n v="19000"/>
    <s v="D006"/>
    <n v="18"/>
    <x v="11"/>
    <n v="170"/>
    <n v="9"/>
    <s v="None"/>
    <n v="266000"/>
    <n v="16433.900000000001"/>
    <n v="249566.1"/>
    <n v="3000"/>
    <n v="246566.1"/>
    <n v="1"/>
    <x v="1"/>
  </r>
  <r>
    <d v="2023-06-10T00:00:00"/>
    <x v="4"/>
    <s v="B013"/>
    <s v="Kano"/>
    <s v="Enugu"/>
    <x v="24"/>
    <d v="1899-12-30T08:52:00"/>
    <d v="1899-12-30T13:00:00"/>
    <d v="1899-12-30T21:52:00"/>
    <n v="670"/>
    <n v="18"/>
    <x v="1"/>
    <n v="15000"/>
    <s v="D008"/>
    <n v="18"/>
    <x v="24"/>
    <n v="170"/>
    <n v="3"/>
    <s v="None"/>
    <n v="270000"/>
    <n v="19125"/>
    <n v="250875"/>
    <n v="3000"/>
    <n v="247875"/>
    <n v="2"/>
    <x v="4"/>
  </r>
  <r>
    <d v="2023-06-12T00:00:00"/>
    <x v="0"/>
    <s v="B008"/>
    <s v="Benin"/>
    <s v="Kaduna"/>
    <x v="3"/>
    <d v="1899-12-30T05:04:00"/>
    <d v="1899-12-30T14:00:00"/>
    <d v="1899-12-30T19:04:00"/>
    <n v="780"/>
    <n v="14"/>
    <x v="0"/>
    <n v="17000"/>
    <s v="D006"/>
    <n v="18"/>
    <x v="11"/>
    <n v="170"/>
    <n v="48"/>
    <s v="Engine Check"/>
    <n v="238000"/>
    <n v="16433.900000000001"/>
    <n v="221566.1"/>
    <n v="3000"/>
    <n v="218566.1"/>
    <n v="3"/>
    <x v="3"/>
  </r>
  <r>
    <d v="2023-06-16T00:00:00"/>
    <x v="3"/>
    <s v="B002"/>
    <s v="Port Harcourt"/>
    <s v="Benin"/>
    <x v="25"/>
    <d v="1899-12-30T10:15:00"/>
    <d v="1899-12-30T06:00:00"/>
    <d v="1899-12-30T16:15:00"/>
    <n v="360"/>
    <n v="15"/>
    <x v="0"/>
    <n v="8000"/>
    <s v="D010"/>
    <n v="18"/>
    <x v="15"/>
    <n v="170"/>
    <n v="41"/>
    <s v="AC Issue"/>
    <n v="120000"/>
    <n v="12750"/>
    <n v="107250"/>
    <n v="3000"/>
    <n v="104250"/>
    <n v="5"/>
    <x v="2"/>
  </r>
  <r>
    <d v="2023-06-16T00:00:00"/>
    <x v="3"/>
    <s v="B007"/>
    <s v="Enugu"/>
    <s v="Benin"/>
    <x v="26"/>
    <d v="1899-12-30T05:06:00"/>
    <d v="1899-12-30T15:00:00"/>
    <d v="1899-12-30T20:06:00"/>
    <n v="740"/>
    <n v="13"/>
    <x v="0"/>
    <n v="19000"/>
    <s v="D007"/>
    <n v="18"/>
    <x v="25"/>
    <n v="170"/>
    <n v="50"/>
    <s v="None"/>
    <n v="247000"/>
    <n v="8216.1"/>
    <n v="238783.9"/>
    <n v="3000"/>
    <n v="235783.9"/>
    <n v="3"/>
    <x v="3"/>
  </r>
  <r>
    <d v="2023-06-17T00:00:00"/>
    <x v="4"/>
    <s v="B014"/>
    <s v="Port Harcourt"/>
    <s v="Ibadan"/>
    <x v="21"/>
    <d v="1899-12-30T09:06:00"/>
    <d v="1899-12-30T03:30:00"/>
    <d v="1899-12-30T12:36:00"/>
    <n v="200"/>
    <n v="14"/>
    <x v="0"/>
    <n v="4000"/>
    <s v="D006"/>
    <n v="18"/>
    <x v="22"/>
    <n v="170"/>
    <n v="3"/>
    <s v="AC Issue"/>
    <n v="56000"/>
    <n v="17566.099999999999"/>
    <n v="38433.9"/>
    <n v="3000"/>
    <n v="35433.9"/>
    <n v="5"/>
    <x v="2"/>
  </r>
  <r>
    <d v="2023-06-21T00:00:00"/>
    <x v="1"/>
    <s v="B005"/>
    <s v="Lagos"/>
    <s v="Port Harcourt"/>
    <x v="27"/>
    <d v="1899-12-30T06:40:00"/>
    <d v="1899-12-30T04:00:00"/>
    <d v="1899-12-30T10:40:00"/>
    <n v="200"/>
    <n v="14"/>
    <x v="0"/>
    <n v="5000"/>
    <s v="D005"/>
    <n v="18"/>
    <x v="9"/>
    <n v="170"/>
    <n v="1"/>
    <s v="Tire Change"/>
    <n v="70000"/>
    <n v="17425"/>
    <n v="52575"/>
    <n v="3000"/>
    <n v="49575"/>
    <n v="4"/>
    <x v="0"/>
  </r>
  <r>
    <d v="2023-06-21T00:00:00"/>
    <x v="1"/>
    <s v="B012"/>
    <s v="Kaduna"/>
    <s v="Benin"/>
    <x v="28"/>
    <d v="1899-12-30T08:10:00"/>
    <d v="1899-12-30T06:00:00"/>
    <d v="1899-12-30T14:10:00"/>
    <n v="360"/>
    <n v="18"/>
    <x v="1"/>
    <n v="7000"/>
    <s v="D001"/>
    <n v="18"/>
    <x v="11"/>
    <n v="170"/>
    <n v="36"/>
    <s v="Tire Change"/>
    <n v="126000"/>
    <n v="16433.900000000001"/>
    <n v="109566.1"/>
    <n v="3000"/>
    <n v="106566.1"/>
    <n v="1"/>
    <x v="1"/>
  </r>
  <r>
    <d v="2023-06-22T00:00:00"/>
    <x v="2"/>
    <s v="B014"/>
    <s v="Kaduna"/>
    <s v="Lagos"/>
    <x v="29"/>
    <d v="1899-12-30T10:00:00"/>
    <d v="1899-12-30T11:00:00"/>
    <d v="1899-12-30T21:00:00"/>
    <n v="560"/>
    <n v="17"/>
    <x v="0"/>
    <n v="13000"/>
    <s v="D005"/>
    <n v="18"/>
    <x v="26"/>
    <n v="170"/>
    <n v="6"/>
    <s v="None"/>
    <n v="221000"/>
    <n v="18416.099999999999"/>
    <n v="202583.9"/>
    <n v="3000"/>
    <n v="199583.9"/>
    <n v="1"/>
    <x v="1"/>
  </r>
  <r>
    <d v="2023-06-22T00:00:00"/>
    <x v="2"/>
    <s v="B003"/>
    <s v="Ibadan"/>
    <s v="Kano"/>
    <x v="30"/>
    <d v="1899-12-30T09:56:00"/>
    <d v="1899-12-30T07:00:00"/>
    <d v="1899-12-30T16:56:00"/>
    <n v="400"/>
    <n v="13"/>
    <x v="1"/>
    <n v="8000"/>
    <s v="D005"/>
    <n v="18"/>
    <x v="27"/>
    <n v="170"/>
    <n v="33"/>
    <s v="Engine Check"/>
    <n v="104000"/>
    <n v="24366.100000000002"/>
    <n v="79633.899999999994"/>
    <n v="3000"/>
    <n v="76633.899999999994"/>
    <n v="2"/>
    <x v="4"/>
  </r>
  <r>
    <d v="2023-06-22T00:00:00"/>
    <x v="2"/>
    <s v="B006"/>
    <s v="Lagos"/>
    <s v="Kaduna"/>
    <x v="31"/>
    <d v="1899-12-30T09:53:00"/>
    <d v="1899-12-30T16:00:00"/>
    <d v="1899-12-31T01:53:00"/>
    <n v="900"/>
    <n v="14"/>
    <x v="0"/>
    <n v="23000"/>
    <s v="D004"/>
    <n v="18"/>
    <x v="26"/>
    <n v="170"/>
    <n v="12"/>
    <s v="AC Issue"/>
    <n v="322000"/>
    <n v="18416.099999999999"/>
    <n v="303583.90000000002"/>
    <n v="3000"/>
    <n v="300583.90000000002"/>
    <n v="2"/>
    <x v="4"/>
  </r>
  <r>
    <d v="2023-06-22T00:00:00"/>
    <x v="2"/>
    <s v="B012"/>
    <s v="Port Harcourt"/>
    <s v="Lagos"/>
    <x v="10"/>
    <d v="1899-12-30T08:59:00"/>
    <d v="1899-12-30T06:00:00"/>
    <d v="1899-12-30T14:59:00"/>
    <n v="270"/>
    <n v="16"/>
    <x v="0"/>
    <n v="7000"/>
    <s v="D007"/>
    <n v="18"/>
    <x v="9"/>
    <n v="170"/>
    <n v="3"/>
    <s v="None"/>
    <n v="112000"/>
    <n v="17425"/>
    <n v="94575"/>
    <n v="3000"/>
    <n v="91575"/>
    <n v="3"/>
    <x v="3"/>
  </r>
  <r>
    <d v="2023-06-22T00:00:00"/>
    <x v="2"/>
    <s v="B013"/>
    <s v="Kano"/>
    <s v="Abuja"/>
    <x v="32"/>
    <d v="1899-12-30T07:48:00"/>
    <d v="1899-12-30T03:00:00"/>
    <d v="1899-12-30T10:48:00"/>
    <n v="130"/>
    <n v="13"/>
    <x v="1"/>
    <n v="3000"/>
    <s v="D002"/>
    <n v="18"/>
    <x v="28"/>
    <n v="170"/>
    <n v="41"/>
    <s v="Engine Check"/>
    <n v="39000"/>
    <n v="8670"/>
    <n v="30330"/>
    <n v="3000"/>
    <n v="27330"/>
    <n v="2"/>
    <x v="4"/>
  </r>
  <r>
    <d v="2023-06-23T00:00:00"/>
    <x v="3"/>
    <s v="B002"/>
    <s v="Lagos"/>
    <s v="Port Harcourt"/>
    <x v="27"/>
    <d v="1899-12-30T07:56:00"/>
    <d v="1899-12-30T12:00:00"/>
    <d v="1899-12-30T19:56:00"/>
    <n v="670"/>
    <n v="14"/>
    <x v="1"/>
    <n v="18000"/>
    <s v="D003"/>
    <n v="18"/>
    <x v="9"/>
    <n v="170"/>
    <n v="38"/>
    <s v="None"/>
    <n v="252000"/>
    <n v="17425"/>
    <n v="234575"/>
    <n v="3000"/>
    <n v="231575"/>
    <n v="5"/>
    <x v="2"/>
  </r>
  <r>
    <d v="2023-06-24T00:00:00"/>
    <x v="4"/>
    <s v="B009"/>
    <s v="Port Harcourt"/>
    <s v="Abuja"/>
    <x v="33"/>
    <d v="1899-12-30T08:38:00"/>
    <d v="1899-12-30T12:00:00"/>
    <d v="1899-12-30T20:38:00"/>
    <n v="590"/>
    <n v="13"/>
    <x v="1"/>
    <n v="16000"/>
    <s v="D002"/>
    <n v="18"/>
    <x v="29"/>
    <n v="170"/>
    <n v="52"/>
    <s v="None"/>
    <n v="208000"/>
    <n v="16716.099999999999"/>
    <n v="191283.9"/>
    <n v="3000"/>
    <n v="188283.9"/>
    <n v="3"/>
    <x v="3"/>
  </r>
  <r>
    <d v="2023-06-24T00:00:00"/>
    <x v="4"/>
    <s v="B012"/>
    <s v="Benin"/>
    <s v="Kaduna"/>
    <x v="3"/>
    <d v="1899-12-30T08:28:00"/>
    <d v="1899-12-30T11:00:00"/>
    <d v="1899-12-30T19:28:00"/>
    <n v="600"/>
    <n v="16"/>
    <x v="1"/>
    <n v="15000"/>
    <s v="D005"/>
    <n v="18"/>
    <x v="11"/>
    <n v="170"/>
    <n v="40"/>
    <s v="None"/>
    <n v="240000"/>
    <n v="16433.900000000001"/>
    <n v="223566.1"/>
    <n v="3000"/>
    <n v="220566.1"/>
    <n v="5"/>
    <x v="2"/>
  </r>
  <r>
    <d v="2023-06-24T00:00:00"/>
    <x v="4"/>
    <s v="B004"/>
    <s v="Port Harcourt"/>
    <s v="Ibadan"/>
    <x v="21"/>
    <d v="1899-12-30T07:02:00"/>
    <d v="1899-12-30T10:00:00"/>
    <d v="1899-12-30T17:02:00"/>
    <n v="470"/>
    <n v="18"/>
    <x v="0"/>
    <n v="18000"/>
    <s v="D003"/>
    <n v="18"/>
    <x v="22"/>
    <n v="170"/>
    <n v="24"/>
    <s v="AC Issue"/>
    <n v="324000"/>
    <n v="17566.099999999999"/>
    <n v="306433.90000000002"/>
    <n v="3000"/>
    <n v="303433.90000000002"/>
    <n v="3"/>
    <x v="3"/>
  </r>
  <r>
    <d v="2023-06-26T00:00:00"/>
    <x v="0"/>
    <s v="B012"/>
    <s v="Abuja"/>
    <s v="Benin"/>
    <x v="18"/>
    <d v="1899-12-30T05:28:00"/>
    <d v="1899-12-30T06:00:00"/>
    <d v="1899-12-30T11:28:00"/>
    <n v="250"/>
    <n v="15"/>
    <x v="1"/>
    <n v="10000"/>
    <s v="D010"/>
    <n v="18"/>
    <x v="19"/>
    <n v="170"/>
    <n v="19"/>
    <s v="AC Issue"/>
    <n v="150000"/>
    <n v="14166.1"/>
    <n v="135833.9"/>
    <n v="3000"/>
    <n v="132833.9"/>
    <n v="3"/>
    <x v="3"/>
  </r>
  <r>
    <d v="2023-06-27T00:00:00"/>
    <x v="6"/>
    <s v="B012"/>
    <s v="Benin"/>
    <s v="Lagos"/>
    <x v="22"/>
    <d v="1899-12-30T10:31:00"/>
    <d v="1899-12-30T04:00:00"/>
    <d v="1899-12-30T14:31:00"/>
    <n v="320"/>
    <n v="14"/>
    <x v="1"/>
    <n v="5500"/>
    <s v="D005"/>
    <n v="18"/>
    <x v="23"/>
    <n v="170"/>
    <n v="16"/>
    <s v="Engine Check"/>
    <n v="77000"/>
    <n v="9066.1"/>
    <n v="67933.899999999994"/>
    <n v="3000"/>
    <n v="64933.899999999994"/>
    <n v="3"/>
    <x v="3"/>
  </r>
  <r>
    <d v="2023-06-27T00:00:00"/>
    <x v="6"/>
    <s v="B007"/>
    <s v="Enugu"/>
    <s v="Benin"/>
    <x v="26"/>
    <d v="1899-12-30T09:41:00"/>
    <d v="1899-12-30T03:38:00"/>
    <d v="1899-12-30T13:19:00"/>
    <n v="380"/>
    <n v="13"/>
    <x v="0"/>
    <n v="7000"/>
    <s v="D010"/>
    <n v="18"/>
    <x v="25"/>
    <n v="170"/>
    <n v="3"/>
    <s v="Engine Check"/>
    <n v="91000"/>
    <n v="8216.1"/>
    <n v="82783.899999999994"/>
    <n v="3000"/>
    <n v="79783.899999999994"/>
    <n v="3"/>
    <x v="3"/>
  </r>
  <r>
    <d v="2023-06-29T00:00:00"/>
    <x v="2"/>
    <s v="B013"/>
    <s v="Port Harcourt"/>
    <s v="Lagos"/>
    <x v="10"/>
    <d v="1899-12-30T06:45:00"/>
    <d v="1899-12-30T07:41:00"/>
    <d v="1899-12-30T14:26:00"/>
    <n v="600"/>
    <n v="18"/>
    <x v="0"/>
    <n v="12000"/>
    <s v="D009"/>
    <n v="18"/>
    <x v="9"/>
    <n v="170"/>
    <n v="59"/>
    <s v="None"/>
    <n v="216000"/>
    <n v="17425"/>
    <n v="198575"/>
    <n v="3000"/>
    <n v="195575"/>
    <n v="5"/>
    <x v="2"/>
  </r>
  <r>
    <d v="2023-06-30T00:00:00"/>
    <x v="3"/>
    <s v="B007"/>
    <s v="Enugu"/>
    <s v="Lagos"/>
    <x v="13"/>
    <d v="1899-12-30T09:00:00"/>
    <d v="1899-12-30T06:38:00"/>
    <d v="1899-12-30T15:38:00"/>
    <n v="560"/>
    <n v="14"/>
    <x v="0"/>
    <n v="12000"/>
    <s v="D002"/>
    <n v="18"/>
    <x v="14"/>
    <n v="170"/>
    <n v="53"/>
    <s v="AC Issue"/>
    <n v="168000"/>
    <n v="15016.1"/>
    <n v="152983.9"/>
    <n v="3000"/>
    <n v="149983.9"/>
    <n v="5"/>
    <x v="2"/>
  </r>
  <r>
    <d v="2023-06-30T00:00:00"/>
    <x v="3"/>
    <s v="B004"/>
    <s v="Kano"/>
    <s v="Enugu"/>
    <x v="24"/>
    <d v="1899-12-30T06:52:00"/>
    <d v="1899-12-30T08:26:00"/>
    <d v="1899-12-30T15:18:00"/>
    <n v="760"/>
    <n v="15"/>
    <x v="1"/>
    <n v="16000"/>
    <s v="D002"/>
    <n v="18"/>
    <x v="24"/>
    <n v="170"/>
    <n v="57"/>
    <s v="None"/>
    <n v="240000"/>
    <n v="19125"/>
    <n v="220875"/>
    <n v="3000"/>
    <n v="217875"/>
    <n v="1"/>
    <x v="1"/>
  </r>
  <r>
    <d v="2023-07-01T00:00:00"/>
    <x v="4"/>
    <s v="B007"/>
    <s v="Ibadan"/>
    <s v="Kano"/>
    <x v="30"/>
    <d v="1899-12-30T07:40:00"/>
    <d v="1899-12-30T10:45:00"/>
    <d v="1899-12-30T18:25:00"/>
    <n v="670"/>
    <n v="16"/>
    <x v="1"/>
    <n v="15000"/>
    <s v="D005"/>
    <n v="18"/>
    <x v="27"/>
    <n v="170"/>
    <n v="25"/>
    <s v="Engine Check"/>
    <n v="240000"/>
    <n v="24366.100000000002"/>
    <n v="215633.9"/>
    <n v="3000"/>
    <n v="212633.9"/>
    <n v="4"/>
    <x v="0"/>
  </r>
  <r>
    <d v="2023-07-02T00:00:00"/>
    <x v="5"/>
    <s v="B006"/>
    <s v="Kano"/>
    <s v="Kaduna"/>
    <x v="34"/>
    <d v="1899-12-30T08:01:00"/>
    <d v="1899-12-30T02:53:00"/>
    <d v="1899-12-30T10:54:00"/>
    <n v="200"/>
    <n v="15"/>
    <x v="0"/>
    <n v="4000"/>
    <s v="D003"/>
    <n v="18"/>
    <x v="30"/>
    <n v="175"/>
    <n v="58"/>
    <s v="AC Issue"/>
    <n v="60000"/>
    <n v="6707.75"/>
    <n v="53292.25"/>
    <n v="3000"/>
    <n v="50292.25"/>
    <n v="4"/>
    <x v="0"/>
  </r>
  <r>
    <d v="2023-07-04T00:00:00"/>
    <x v="6"/>
    <s v="B003"/>
    <s v="Lagos"/>
    <s v="Kaduna"/>
    <x v="31"/>
    <d v="1899-12-30T09:07:00"/>
    <d v="1899-12-30T08:08:00"/>
    <d v="1899-12-30T17:15:00"/>
    <n v="780"/>
    <n v="16"/>
    <x v="0"/>
    <n v="17000"/>
    <s v="D005"/>
    <n v="18"/>
    <x v="26"/>
    <n v="175"/>
    <n v="17"/>
    <s v="Tire Change"/>
    <n v="272000"/>
    <n v="18957.75"/>
    <n v="253042.25"/>
    <n v="3000"/>
    <n v="250042.25"/>
    <n v="1"/>
    <x v="1"/>
  </r>
  <r>
    <d v="2023-07-06T00:00:00"/>
    <x v="2"/>
    <s v="B001"/>
    <s v="Ibadan"/>
    <s v="Enugu"/>
    <x v="17"/>
    <d v="1899-12-30T06:18:00"/>
    <d v="1899-12-30T06:41:00"/>
    <d v="1899-12-30T12:59:00"/>
    <n v="470"/>
    <n v="13"/>
    <x v="1"/>
    <n v="12000"/>
    <s v="D008"/>
    <n v="18"/>
    <x v="17"/>
    <n v="175"/>
    <n v="4"/>
    <s v="None"/>
    <n v="156000"/>
    <n v="15604.75"/>
    <n v="140395.25"/>
    <n v="3000"/>
    <n v="137395.25"/>
    <n v="3"/>
    <x v="3"/>
  </r>
  <r>
    <d v="2023-07-07T00:00:00"/>
    <x v="3"/>
    <s v="B013"/>
    <s v="Kaduna"/>
    <s v="Kano"/>
    <x v="1"/>
    <d v="1899-12-30T05:36:00"/>
    <d v="1899-12-30T02:53:00"/>
    <d v="1899-12-30T08:29:00"/>
    <n v="230"/>
    <n v="14"/>
    <x v="0"/>
    <n v="6549"/>
    <s v="D006"/>
    <n v="18"/>
    <x v="30"/>
    <n v="175"/>
    <n v="38"/>
    <s v="Tire Change"/>
    <n v="91686"/>
    <n v="6707.75"/>
    <n v="84978.25"/>
    <n v="3000"/>
    <n v="81978.25"/>
    <n v="4"/>
    <x v="0"/>
  </r>
  <r>
    <d v="2023-07-08T00:00:00"/>
    <x v="4"/>
    <s v="B014"/>
    <s v="Benin"/>
    <s v="Port Harcourt"/>
    <x v="14"/>
    <d v="1899-12-30T06:24:00"/>
    <d v="1899-12-30T05:38:00"/>
    <d v="1899-12-30T12:02:00"/>
    <n v="410"/>
    <n v="17"/>
    <x v="0"/>
    <n v="6000"/>
    <s v="D004"/>
    <n v="18"/>
    <x v="15"/>
    <n v="175"/>
    <n v="22"/>
    <s v="None"/>
    <n v="102000"/>
    <n v="13125"/>
    <n v="88875"/>
    <n v="3000"/>
    <n v="85875"/>
    <n v="4"/>
    <x v="0"/>
  </r>
  <r>
    <d v="2023-07-10T00:00:00"/>
    <x v="0"/>
    <s v="B013"/>
    <s v="Abuja"/>
    <s v="Kaduna"/>
    <x v="35"/>
    <d v="1899-12-30T06:26:00"/>
    <d v="1899-12-30T02:15:00"/>
    <d v="1899-12-30T08:41:00"/>
    <n v="200"/>
    <n v="17"/>
    <x v="0"/>
    <n v="5000"/>
    <s v="D009"/>
    <n v="18"/>
    <x v="31"/>
    <n v="175"/>
    <n v="0"/>
    <s v="Tire Change"/>
    <n v="85000"/>
    <n v="5250"/>
    <n v="79750"/>
    <n v="3000"/>
    <n v="76750"/>
    <n v="4"/>
    <x v="0"/>
  </r>
  <r>
    <d v="2023-07-10T00:00:00"/>
    <x v="0"/>
    <s v="B003"/>
    <s v="Kano"/>
    <s v="Port Harcourt"/>
    <x v="15"/>
    <d v="1899-12-30T07:08:00"/>
    <d v="1899-12-30T11:08:00"/>
    <d v="1899-12-30T18:16:00"/>
    <n v="900"/>
    <n v="13"/>
    <x v="0"/>
    <n v="19000"/>
    <s v="D003"/>
    <n v="18"/>
    <x v="16"/>
    <n v="175"/>
    <n v="11"/>
    <s v="Engine Check"/>
    <n v="247000"/>
    <n v="25957.750000000004"/>
    <n v="221042.25"/>
    <n v="3000"/>
    <n v="218042.25"/>
    <n v="5"/>
    <x v="2"/>
  </r>
  <r>
    <d v="2023-07-10T00:00:00"/>
    <x v="0"/>
    <s v="B006"/>
    <s v="Abuja"/>
    <s v="Kano"/>
    <x v="36"/>
    <d v="1899-12-30T07:05:00"/>
    <d v="1899-12-30T04:30:00"/>
    <d v="1899-12-30T11:35:00"/>
    <n v="360"/>
    <n v="15"/>
    <x v="0"/>
    <n v="7000"/>
    <s v="D010"/>
    <n v="18"/>
    <x v="32"/>
    <n v="175"/>
    <n v="45"/>
    <s v="None"/>
    <n v="105000"/>
    <n v="10500"/>
    <n v="94500"/>
    <n v="3000"/>
    <n v="91500"/>
    <n v="4"/>
    <x v="0"/>
  </r>
  <r>
    <d v="2023-07-11T00:00:00"/>
    <x v="6"/>
    <s v="B014"/>
    <s v="Lagos"/>
    <s v="Kano"/>
    <x v="6"/>
    <d v="1899-12-30T10:42:00"/>
    <d v="1899-12-30T10:26:00"/>
    <d v="1899-12-30T21:08:00"/>
    <n v="835"/>
    <n v="18"/>
    <x v="1"/>
    <n v="23762"/>
    <s v="D004"/>
    <n v="18"/>
    <x v="12"/>
    <n v="175"/>
    <n v="17"/>
    <s v="Engine Check"/>
    <n v="427716"/>
    <n v="24354.749999999996"/>
    <n v="403361.25"/>
    <n v="3000"/>
    <n v="400361.25"/>
    <n v="1"/>
    <x v="1"/>
  </r>
  <r>
    <d v="2023-07-16T00:00:00"/>
    <x v="5"/>
    <s v="B002"/>
    <s v="Abuja"/>
    <s v="Enugu"/>
    <x v="4"/>
    <d v="1899-12-30T06:02:00"/>
    <d v="1899-12-30T05:38:00"/>
    <d v="1899-12-30T11:40:00"/>
    <n v="450"/>
    <n v="18"/>
    <x v="1"/>
    <n v="12806"/>
    <s v="D007"/>
    <n v="18"/>
    <x v="15"/>
    <n v="175"/>
    <n v="4"/>
    <s v="Tire Change"/>
    <n v="230508"/>
    <n v="13125"/>
    <n v="217383"/>
    <n v="3000"/>
    <n v="214383"/>
    <n v="4"/>
    <x v="0"/>
  </r>
  <r>
    <d v="2023-07-16T00:00:00"/>
    <x v="5"/>
    <s v="B011"/>
    <s v="Enugu"/>
    <s v="Lagos"/>
    <x v="13"/>
    <d v="1899-12-30T09:39:00"/>
    <d v="1899-12-30T07:00:00"/>
    <d v="1899-12-30T16:39:00"/>
    <n v="530"/>
    <n v="14"/>
    <x v="1"/>
    <n v="15090"/>
    <s v="D006"/>
    <n v="18"/>
    <x v="17"/>
    <n v="175"/>
    <n v="49"/>
    <s v="AC Issue"/>
    <n v="211260"/>
    <n v="15604.75"/>
    <n v="195655.25"/>
    <n v="3000"/>
    <n v="192655.25"/>
    <n v="4"/>
    <x v="0"/>
  </r>
  <r>
    <d v="2023-07-17T00:00:00"/>
    <x v="0"/>
    <s v="B011"/>
    <s v="Kaduna"/>
    <s v="Ibadan"/>
    <x v="37"/>
    <d v="1899-12-30T09:59:00"/>
    <d v="1899-12-30T06:15:00"/>
    <d v="1899-12-30T16:14:00"/>
    <n v="560"/>
    <n v="13"/>
    <x v="1"/>
    <n v="13000"/>
    <s v="D002"/>
    <n v="18"/>
    <x v="33"/>
    <n v="175"/>
    <n v="34"/>
    <s v="None"/>
    <n v="169000"/>
    <n v="25375"/>
    <n v="143625"/>
    <n v="3000"/>
    <n v="140625"/>
    <n v="5"/>
    <x v="2"/>
  </r>
  <r>
    <d v="2023-07-18T00:00:00"/>
    <x v="6"/>
    <s v="B011"/>
    <s v="Benin"/>
    <s v="Abuja"/>
    <x v="38"/>
    <d v="1899-12-30T08:15:00"/>
    <d v="1899-12-30T11:08:00"/>
    <d v="1899-12-30T19:23:00"/>
    <n v="400"/>
    <n v="18"/>
    <x v="1"/>
    <n v="8000"/>
    <s v="D003"/>
    <n v="18"/>
    <x v="19"/>
    <n v="175"/>
    <n v="3"/>
    <s v="Tire Change"/>
    <n v="144000"/>
    <n v="14582.75"/>
    <n v="129417.25"/>
    <n v="3000"/>
    <n v="126417.25"/>
    <n v="2"/>
    <x v="4"/>
  </r>
  <r>
    <d v="2023-07-18T00:00:00"/>
    <x v="6"/>
    <s v="B003"/>
    <s v="Port Harcourt"/>
    <s v="Kano"/>
    <x v="39"/>
    <d v="1899-12-30T10:46:00"/>
    <d v="1899-12-30T07:15:00"/>
    <d v="1899-12-30T18:01:00"/>
    <n v="900"/>
    <n v="15"/>
    <x v="1"/>
    <n v="23000"/>
    <s v="D003"/>
    <n v="18"/>
    <x v="16"/>
    <n v="175"/>
    <n v="1"/>
    <s v="AC Issue"/>
    <n v="345000"/>
    <n v="25957.750000000004"/>
    <n v="319042.25"/>
    <n v="3000"/>
    <n v="316042.25"/>
    <n v="2"/>
    <x v="4"/>
  </r>
  <r>
    <d v="2023-07-19T00:00:00"/>
    <x v="1"/>
    <s v="B003"/>
    <s v="Ibadan"/>
    <s v="Abuja"/>
    <x v="23"/>
    <d v="1899-12-30T09:11:00"/>
    <d v="1899-12-30T06:15:00"/>
    <d v="1899-12-30T15:26:00"/>
    <n v="520"/>
    <n v="18"/>
    <x v="0"/>
    <n v="11000"/>
    <s v="D005"/>
    <n v="18"/>
    <x v="11"/>
    <n v="175"/>
    <n v="6"/>
    <s v="Engine Check"/>
    <n v="198000"/>
    <n v="16917.25"/>
    <n v="181082.75"/>
    <n v="3000"/>
    <n v="178082.75"/>
    <n v="2"/>
    <x v="4"/>
  </r>
  <r>
    <d v="2023-07-19T00:00:00"/>
    <x v="1"/>
    <s v="B013"/>
    <s v="Kaduna"/>
    <s v="Ibadan"/>
    <x v="37"/>
    <d v="1899-12-30T09:11:00"/>
    <d v="1899-12-30T07:45:00"/>
    <d v="1899-12-30T16:56:00"/>
    <n v="560"/>
    <n v="14"/>
    <x v="0"/>
    <n v="13000"/>
    <s v="D006"/>
    <n v="18"/>
    <x v="33"/>
    <n v="175"/>
    <n v="59"/>
    <s v="None"/>
    <n v="182000"/>
    <n v="25375"/>
    <n v="156625"/>
    <n v="3000"/>
    <n v="153625"/>
    <n v="2"/>
    <x v="4"/>
  </r>
  <r>
    <d v="2023-07-19T00:00:00"/>
    <x v="1"/>
    <s v="B008"/>
    <s v="Abuja"/>
    <s v="Benin"/>
    <x v="18"/>
    <d v="1899-12-30T08:53:00"/>
    <d v="1899-12-30T03:23:00"/>
    <d v="1899-12-30T12:16:00"/>
    <n v="500"/>
    <n v="17"/>
    <x v="1"/>
    <n v="14235"/>
    <s v="D007"/>
    <n v="18"/>
    <x v="19"/>
    <n v="175"/>
    <n v="1"/>
    <s v="Tire Change"/>
    <n v="241995"/>
    <n v="14582.75"/>
    <n v="227412.25"/>
    <n v="3000"/>
    <n v="224412.25"/>
    <n v="1"/>
    <x v="1"/>
  </r>
  <r>
    <d v="2023-07-19T00:00:00"/>
    <x v="1"/>
    <s v="B003"/>
    <s v="Kano"/>
    <s v="Kaduna"/>
    <x v="34"/>
    <d v="1899-12-30T07:03:00"/>
    <d v="1899-12-30T07:56:00"/>
    <d v="1899-12-30T14:59:00"/>
    <n v="200"/>
    <n v="17"/>
    <x v="0"/>
    <n v="4000"/>
    <s v="D001"/>
    <n v="18"/>
    <x v="34"/>
    <n v="175"/>
    <n v="33"/>
    <s v="Engine Check"/>
    <n v="68000"/>
    <n v="9975"/>
    <n v="58025"/>
    <n v="3000"/>
    <n v="55025"/>
    <n v="3"/>
    <x v="3"/>
  </r>
  <r>
    <d v="2023-07-20T00:00:00"/>
    <x v="2"/>
    <s v="B006"/>
    <s v="Abuja"/>
    <s v="Benin"/>
    <x v="18"/>
    <d v="1899-12-30T06:39:00"/>
    <d v="1899-12-30T01:38:00"/>
    <d v="1899-12-30T08:17:00"/>
    <n v="500"/>
    <n v="16"/>
    <x v="0"/>
    <n v="14235"/>
    <s v="D003"/>
    <n v="18"/>
    <x v="19"/>
    <n v="175"/>
    <n v="53"/>
    <s v="AC Issue"/>
    <n v="227760"/>
    <n v="14582.75"/>
    <n v="213177.25"/>
    <n v="3000"/>
    <n v="210177.25"/>
    <n v="2"/>
    <x v="4"/>
  </r>
  <r>
    <d v="2023-07-22T00:00:00"/>
    <x v="4"/>
    <s v="B013"/>
    <s v="Port Harcourt"/>
    <s v="Ibadan"/>
    <x v="21"/>
    <d v="1899-12-30T05:25:00"/>
    <d v="1899-12-30T10:53:00"/>
    <d v="1899-12-30T16:18:00"/>
    <n v="620"/>
    <n v="18"/>
    <x v="0"/>
    <n v="17655"/>
    <s v="D010"/>
    <n v="18"/>
    <x v="15"/>
    <n v="175"/>
    <n v="35"/>
    <s v="None"/>
    <n v="317790"/>
    <n v="13125"/>
    <n v="304665"/>
    <n v="3000"/>
    <n v="301665"/>
    <n v="4"/>
    <x v="0"/>
  </r>
  <r>
    <d v="2023-07-23T00:00:00"/>
    <x v="5"/>
    <s v="B014"/>
    <s v="Benin"/>
    <s v="Lagos"/>
    <x v="22"/>
    <d v="1899-12-30T08:32:00"/>
    <d v="1899-12-30T08:38:00"/>
    <d v="1899-12-30T17:10:00"/>
    <n v="320"/>
    <n v="14"/>
    <x v="1"/>
    <n v="9105"/>
    <s v="D007"/>
    <n v="18"/>
    <x v="13"/>
    <n v="175"/>
    <n v="47"/>
    <s v="None"/>
    <n v="127470"/>
    <n v="8050"/>
    <n v="119420"/>
    <n v="3000"/>
    <n v="116420"/>
    <n v="4"/>
    <x v="0"/>
  </r>
  <r>
    <d v="2023-07-24T00:00:00"/>
    <x v="0"/>
    <s v="B011"/>
    <s v="Benin"/>
    <s v="Ibadan"/>
    <x v="40"/>
    <d v="1899-12-30T09:35:00"/>
    <d v="1899-12-30T05:38:00"/>
    <d v="1899-12-30T15:13:00"/>
    <n v="270"/>
    <n v="15"/>
    <x v="0"/>
    <n v="7000"/>
    <s v="D007"/>
    <n v="18"/>
    <x v="35"/>
    <n v="175"/>
    <n v="60"/>
    <s v="AC Issue"/>
    <n v="105000"/>
    <n v="7875"/>
    <n v="97125"/>
    <n v="3000"/>
    <n v="94125"/>
    <n v="1"/>
    <x v="1"/>
  </r>
  <r>
    <d v="2023-07-24T00:00:00"/>
    <x v="0"/>
    <s v="B007"/>
    <s v="Ibadan"/>
    <s v="Enugu"/>
    <x v="17"/>
    <d v="1899-12-30T06:34:00"/>
    <d v="1899-12-30T07:15:00"/>
    <d v="1899-12-30T13:49:00"/>
    <n v="535"/>
    <n v="16"/>
    <x v="1"/>
    <n v="15226"/>
    <s v="D006"/>
    <n v="18"/>
    <x v="17"/>
    <n v="175"/>
    <n v="45"/>
    <s v="AC Issue"/>
    <n v="243616"/>
    <n v="15604.75"/>
    <n v="228011.25"/>
    <n v="3000"/>
    <n v="225011.25"/>
    <n v="1"/>
    <x v="1"/>
  </r>
  <r>
    <d v="2023-07-25T00:00:00"/>
    <x v="6"/>
    <s v="B001"/>
    <s v="Benin"/>
    <s v="Abuja"/>
    <x v="38"/>
    <d v="1899-12-30T05:46:00"/>
    <d v="1899-12-30T09:23:00"/>
    <d v="1899-12-30T15:09:00"/>
    <n v="400"/>
    <n v="14"/>
    <x v="0"/>
    <n v="8000"/>
    <s v="D006"/>
    <n v="18"/>
    <x v="19"/>
    <n v="175"/>
    <n v="50"/>
    <s v="None"/>
    <n v="112000"/>
    <n v="14582.75"/>
    <n v="97417.25"/>
    <n v="3000"/>
    <n v="94417.25"/>
    <n v="1"/>
    <x v="1"/>
  </r>
  <r>
    <d v="2023-07-26T00:00:00"/>
    <x v="1"/>
    <s v="B008"/>
    <s v="Benin"/>
    <s v="Abuja"/>
    <x v="38"/>
    <d v="1899-12-30T08:37:00"/>
    <d v="1899-12-30T07:23:00"/>
    <d v="1899-12-30T16:00:00"/>
    <n v="400"/>
    <n v="18"/>
    <x v="1"/>
    <n v="8000"/>
    <s v="D007"/>
    <n v="18"/>
    <x v="19"/>
    <n v="175"/>
    <n v="35"/>
    <s v="Tire Change"/>
    <n v="144000"/>
    <n v="14582.75"/>
    <n v="129417.25"/>
    <n v="3000"/>
    <n v="126417.25"/>
    <n v="5"/>
    <x v="2"/>
  </r>
  <r>
    <d v="2023-07-28T00:00:00"/>
    <x v="3"/>
    <s v="B002"/>
    <s v="Ibadan"/>
    <s v="Abuja"/>
    <x v="23"/>
    <d v="1899-12-30T09:56:00"/>
    <d v="1899-12-30T08:08:00"/>
    <d v="1899-12-30T18:04:00"/>
    <n v="580"/>
    <n v="13"/>
    <x v="0"/>
    <n v="16507"/>
    <s v="D007"/>
    <n v="18"/>
    <x v="11"/>
    <n v="175"/>
    <n v="48"/>
    <s v="None"/>
    <n v="214591"/>
    <n v="16917.25"/>
    <n v="197673.75"/>
    <n v="3000"/>
    <n v="194673.75"/>
    <n v="2"/>
    <x v="4"/>
  </r>
  <r>
    <d v="2023-07-28T00:00:00"/>
    <x v="3"/>
    <s v="B010"/>
    <s v="Enugu"/>
    <s v="Kaduna"/>
    <x v="11"/>
    <d v="1899-12-30T10:17:00"/>
    <d v="1899-12-30T07:15:00"/>
    <d v="1899-12-30T17:32:00"/>
    <n v="635"/>
    <n v="15"/>
    <x v="1"/>
    <n v="18077"/>
    <s v="D010"/>
    <n v="18"/>
    <x v="10"/>
    <n v="175"/>
    <n v="51"/>
    <s v="Tire Change"/>
    <n v="271155"/>
    <n v="18520.25"/>
    <n v="252634.75"/>
    <n v="3000"/>
    <n v="249634.75"/>
    <n v="1"/>
    <x v="1"/>
  </r>
  <r>
    <d v="2023-08-01T00:00:00"/>
    <x v="6"/>
    <s v="B008"/>
    <s v="Ibadan"/>
    <s v="Lagos"/>
    <x v="41"/>
    <d v="1899-12-30T05:28:00"/>
    <d v="1899-12-30T08:38:00"/>
    <d v="1899-12-30T14:06:00"/>
    <n v="130"/>
    <n v="16"/>
    <x v="0"/>
    <n v="3000"/>
    <s v="D010"/>
    <n v="18"/>
    <x v="36"/>
    <n v="175"/>
    <n v="57"/>
    <s v="Tire Change"/>
    <n v="48000"/>
    <n v="3325"/>
    <n v="44675"/>
    <n v="3000"/>
    <n v="41675"/>
    <n v="3"/>
    <x v="3"/>
  </r>
  <r>
    <d v="2023-08-02T00:00:00"/>
    <x v="1"/>
    <s v="B006"/>
    <s v="Kaduna"/>
    <s v="Ibadan"/>
    <x v="37"/>
    <d v="1899-12-30T10:22:00"/>
    <d v="1899-12-30T07:45:00"/>
    <d v="1899-12-30T18:07:00"/>
    <n v="560"/>
    <n v="17"/>
    <x v="0"/>
    <n v="13000"/>
    <s v="D007"/>
    <n v="18"/>
    <x v="33"/>
    <n v="175"/>
    <n v="38"/>
    <s v="Engine Check"/>
    <n v="221000"/>
    <n v="25375"/>
    <n v="195625"/>
    <n v="3000"/>
    <n v="192625"/>
    <n v="1"/>
    <x v="1"/>
  </r>
  <r>
    <d v="2023-08-02T00:00:00"/>
    <x v="1"/>
    <s v="B004"/>
    <s v="Kano"/>
    <s v="Ibadan"/>
    <x v="42"/>
    <d v="1899-12-30T05:30:00"/>
    <d v="1899-12-30T03:45:00"/>
    <d v="1899-12-30T09:15:00"/>
    <n v="670"/>
    <n v="17"/>
    <x v="0"/>
    <n v="18000"/>
    <s v="D004"/>
    <n v="18"/>
    <x v="33"/>
    <n v="175"/>
    <n v="44"/>
    <s v="Engine Check"/>
    <n v="306000"/>
    <n v="25375"/>
    <n v="280625"/>
    <n v="3000"/>
    <n v="277625"/>
    <n v="4"/>
    <x v="0"/>
  </r>
  <r>
    <d v="2023-08-02T00:00:00"/>
    <x v="1"/>
    <s v="B013"/>
    <s v="Ibadan"/>
    <s v="Abuja"/>
    <x v="23"/>
    <d v="1899-12-30T08:33:00"/>
    <d v="1899-12-30T07:41:00"/>
    <d v="1899-12-30T16:14:00"/>
    <n v="580"/>
    <n v="15"/>
    <x v="1"/>
    <n v="16507"/>
    <s v="D008"/>
    <n v="18"/>
    <x v="11"/>
    <n v="175"/>
    <n v="59"/>
    <s v="None"/>
    <n v="247605"/>
    <n v="16917.25"/>
    <n v="230687.75"/>
    <n v="3000"/>
    <n v="227687.75"/>
    <n v="2"/>
    <x v="4"/>
  </r>
  <r>
    <d v="2023-08-04T00:00:00"/>
    <x v="3"/>
    <s v="B005"/>
    <s v="Kaduna"/>
    <s v="Port Harcourt"/>
    <x v="2"/>
    <d v="1899-12-30T08:30:00"/>
    <d v="1899-12-30T07:56:00"/>
    <d v="1899-12-30T16:26:00"/>
    <n v="690"/>
    <n v="17"/>
    <x v="0"/>
    <n v="19636"/>
    <s v="D008"/>
    <n v="18"/>
    <x v="37"/>
    <n v="175"/>
    <n v="21"/>
    <s v="Tire Change"/>
    <n v="333812"/>
    <n v="20125"/>
    <n v="313687"/>
    <n v="3000"/>
    <n v="310687"/>
    <n v="2"/>
    <x v="4"/>
  </r>
  <r>
    <d v="2023-08-05T00:00:00"/>
    <x v="4"/>
    <s v="B014"/>
    <s v="Port Harcourt"/>
    <s v="Benin"/>
    <x v="25"/>
    <d v="1899-12-30T05:27:00"/>
    <d v="1899-12-30T01:38:00"/>
    <d v="1899-12-30T07:05:00"/>
    <n v="450"/>
    <n v="13"/>
    <x v="1"/>
    <n v="12806"/>
    <s v="D005"/>
    <n v="18"/>
    <x v="38"/>
    <n v="175"/>
    <n v="48"/>
    <s v="Engine Check"/>
    <n v="166478"/>
    <n v="10325"/>
    <n v="156153"/>
    <n v="3000"/>
    <n v="153153"/>
    <n v="3"/>
    <x v="3"/>
  </r>
  <r>
    <d v="2023-08-08T00:00:00"/>
    <x v="6"/>
    <s v="B007"/>
    <s v="Benin"/>
    <s v="Kaduna"/>
    <x v="3"/>
    <d v="1899-12-30T07:35:00"/>
    <d v="1899-12-30T06:41:00"/>
    <d v="1899-12-30T14:16:00"/>
    <n v="580"/>
    <n v="18"/>
    <x v="0"/>
    <n v="16507"/>
    <s v="D007"/>
    <n v="18"/>
    <x v="3"/>
    <n v="175"/>
    <n v="12"/>
    <s v="Engine Check"/>
    <n v="297126"/>
    <n v="13825"/>
    <n v="283301"/>
    <n v="3000"/>
    <n v="280301"/>
    <n v="2"/>
    <x v="4"/>
  </r>
  <r>
    <d v="2023-08-09T00:00:00"/>
    <x v="1"/>
    <s v="B010"/>
    <s v="Abuja"/>
    <s v="Lagos"/>
    <x v="7"/>
    <d v="1899-12-30T08:01:00"/>
    <d v="1899-12-30T03:45:00"/>
    <d v="1899-12-30T11:46:00"/>
    <n v="750"/>
    <n v="17"/>
    <x v="1"/>
    <n v="21344"/>
    <s v="D007"/>
    <n v="18"/>
    <x v="5"/>
    <n v="175"/>
    <n v="56"/>
    <s v="Tire Change"/>
    <n v="362848"/>
    <n v="19075"/>
    <n v="343773"/>
    <n v="3000"/>
    <n v="340773"/>
    <n v="3"/>
    <x v="3"/>
  </r>
  <r>
    <d v="2023-08-13T00:00:00"/>
    <x v="5"/>
    <s v="B002"/>
    <s v="Port Harcourt"/>
    <s v="Benin"/>
    <x v="25"/>
    <d v="1899-12-30T08:58:00"/>
    <d v="1899-12-30T09:23:00"/>
    <d v="1899-12-30T18:21:00"/>
    <n v="450"/>
    <n v="16"/>
    <x v="1"/>
    <n v="12806"/>
    <s v="D010"/>
    <n v="18"/>
    <x v="38"/>
    <n v="175"/>
    <n v="34"/>
    <s v="Engine Check"/>
    <n v="204896"/>
    <n v="10325"/>
    <n v="194571"/>
    <n v="3000"/>
    <n v="191571"/>
    <n v="1"/>
    <x v="1"/>
  </r>
  <r>
    <d v="2023-08-13T00:00:00"/>
    <x v="5"/>
    <s v="B009"/>
    <s v="Port Harcourt"/>
    <s v="Lagos"/>
    <x v="10"/>
    <d v="1899-12-30T10:53:00"/>
    <d v="1899-12-30T07:15:00"/>
    <d v="1899-12-30T18:08:00"/>
    <n v="615"/>
    <n v="17"/>
    <x v="0"/>
    <n v="17505"/>
    <s v="D007"/>
    <n v="18"/>
    <x v="9"/>
    <n v="175"/>
    <n v="51"/>
    <s v="Engine Check"/>
    <n v="297585"/>
    <n v="17937.5"/>
    <n v="279647.5"/>
    <n v="3000"/>
    <n v="276647.5"/>
    <n v="2"/>
    <x v="4"/>
  </r>
  <r>
    <d v="2023-08-14T00:00:00"/>
    <x v="0"/>
    <s v="B011"/>
    <s v="Port Harcourt"/>
    <s v="Abuja"/>
    <x v="33"/>
    <d v="1899-12-30T06:59:00"/>
    <d v="1899-12-30T07:23:00"/>
    <d v="1899-12-30T14:22:00"/>
    <n v="590"/>
    <n v="18"/>
    <x v="1"/>
    <n v="16799"/>
    <s v="D008"/>
    <n v="18"/>
    <x v="29"/>
    <n v="175"/>
    <n v="6"/>
    <s v="None"/>
    <n v="302382"/>
    <n v="17207.75"/>
    <n v="285174.25"/>
    <n v="3000"/>
    <n v="282174.25"/>
    <n v="1"/>
    <x v="1"/>
  </r>
  <r>
    <d v="2023-08-15T00:00:00"/>
    <x v="6"/>
    <s v="B005"/>
    <s v="Ibadan"/>
    <s v="Abuja"/>
    <x v="23"/>
    <d v="1899-12-30T05:36:00"/>
    <d v="1899-12-30T07:15:00"/>
    <d v="1899-12-30T12:51:00"/>
    <n v="580"/>
    <n v="17"/>
    <x v="0"/>
    <n v="16507"/>
    <s v="D001"/>
    <n v="18"/>
    <x v="11"/>
    <n v="175"/>
    <n v="49"/>
    <s v="None"/>
    <n v="280619"/>
    <n v="16917.25"/>
    <n v="263701.75"/>
    <n v="3000"/>
    <n v="260701.75"/>
    <n v="1"/>
    <x v="1"/>
  </r>
  <r>
    <d v="2023-08-15T00:00:00"/>
    <x v="6"/>
    <s v="B014"/>
    <s v="Kaduna"/>
    <s v="Ibadan"/>
    <x v="37"/>
    <d v="1899-12-30T05:01:00"/>
    <d v="1899-12-30T10:53:00"/>
    <d v="1899-12-30T15:54:00"/>
    <n v="560"/>
    <n v="13"/>
    <x v="1"/>
    <n v="15940"/>
    <s v="D002"/>
    <n v="18"/>
    <x v="33"/>
    <n v="175"/>
    <n v="15"/>
    <s v="AC Issue"/>
    <n v="207220"/>
    <n v="25375"/>
    <n v="181845"/>
    <n v="3000"/>
    <n v="178845"/>
    <n v="2"/>
    <x v="4"/>
  </r>
  <r>
    <d v="2023-08-16T00:00:00"/>
    <x v="1"/>
    <s v="B008"/>
    <s v="Ibadan"/>
    <s v="Enugu"/>
    <x v="17"/>
    <d v="1899-12-30T08:12:00"/>
    <d v="1899-12-30T06:41:00"/>
    <d v="1899-12-30T14:53:00"/>
    <n v="535"/>
    <n v="17"/>
    <x v="1"/>
    <n v="15226"/>
    <s v="D007"/>
    <n v="18"/>
    <x v="17"/>
    <n v="175"/>
    <n v="0"/>
    <s v="Tire Change"/>
    <n v="258842"/>
    <n v="15604.75"/>
    <n v="243237.25"/>
    <n v="3000"/>
    <n v="240237.25"/>
    <n v="3"/>
    <x v="3"/>
  </r>
  <r>
    <d v="2023-08-16T00:00:00"/>
    <x v="1"/>
    <s v="B011"/>
    <s v="Kaduna"/>
    <s v="Lagos"/>
    <x v="29"/>
    <d v="1899-12-30T06:19:00"/>
    <d v="1899-12-30T08:08:00"/>
    <d v="1899-12-30T14:27:00"/>
    <n v="650"/>
    <n v="17"/>
    <x v="0"/>
    <n v="18509"/>
    <s v="D007"/>
    <n v="18"/>
    <x v="26"/>
    <n v="175"/>
    <n v="45"/>
    <s v="None"/>
    <n v="314653"/>
    <n v="18957.75"/>
    <n v="295695.25"/>
    <n v="3000"/>
    <n v="292695.25"/>
    <n v="4"/>
    <x v="0"/>
  </r>
  <r>
    <d v="2023-08-17T00:00:00"/>
    <x v="2"/>
    <s v="B005"/>
    <s v="Kaduna"/>
    <s v="Benin"/>
    <x v="28"/>
    <d v="1899-12-30T10:17:00"/>
    <d v="1899-12-30T07:15:00"/>
    <d v="1899-12-30T17:32:00"/>
    <n v="580"/>
    <n v="17"/>
    <x v="1"/>
    <n v="16507"/>
    <s v="D009"/>
    <n v="18"/>
    <x v="11"/>
    <n v="175"/>
    <n v="19"/>
    <s v="Tire Change"/>
    <n v="280619"/>
    <n v="16917.25"/>
    <n v="263701.75"/>
    <n v="3000"/>
    <n v="260701.75"/>
    <n v="4"/>
    <x v="0"/>
  </r>
  <r>
    <d v="2023-08-19T00:00:00"/>
    <x v="4"/>
    <s v="B006"/>
    <s v="Lagos"/>
    <s v="Kano"/>
    <x v="6"/>
    <d v="1899-12-30T10:26:00"/>
    <d v="1899-12-30T10:26:00"/>
    <d v="1899-12-30T20:52:00"/>
    <n v="835"/>
    <n v="15"/>
    <x v="0"/>
    <n v="23762"/>
    <s v="D004"/>
    <n v="18"/>
    <x v="12"/>
    <n v="175"/>
    <n v="36"/>
    <s v="None"/>
    <n v="356430"/>
    <n v="24354.749999999996"/>
    <n v="332075.25"/>
    <n v="3000"/>
    <n v="329075.25"/>
    <n v="1"/>
    <x v="1"/>
  </r>
  <r>
    <d v="2023-08-19T00:00:00"/>
    <x v="4"/>
    <s v="B014"/>
    <s v="Port Harcourt"/>
    <s v="Kano"/>
    <x v="39"/>
    <d v="1899-12-30T10:57:00"/>
    <d v="1899-12-30T11:08:00"/>
    <d v="1899-12-30T22:05:00"/>
    <n v="890"/>
    <n v="16"/>
    <x v="1"/>
    <n v="25323"/>
    <s v="D004"/>
    <n v="18"/>
    <x v="16"/>
    <n v="175"/>
    <n v="36"/>
    <s v="None"/>
    <n v="405168"/>
    <n v="25957.750000000004"/>
    <n v="379210.25"/>
    <n v="3000"/>
    <n v="376210.25"/>
    <n v="5"/>
    <x v="2"/>
  </r>
  <r>
    <d v="2023-08-22T00:00:00"/>
    <x v="6"/>
    <s v="B013"/>
    <s v="Ibadan"/>
    <s v="Kano"/>
    <x v="30"/>
    <d v="1899-12-30T10:24:00"/>
    <d v="1899-12-30T10:45:00"/>
    <d v="1899-12-30T21:09:00"/>
    <n v="860"/>
    <n v="14"/>
    <x v="1"/>
    <n v="24485"/>
    <s v="D002"/>
    <n v="18"/>
    <x v="27"/>
    <n v="175"/>
    <n v="24"/>
    <s v="Tire Change"/>
    <n v="342790"/>
    <n v="25082.750000000004"/>
    <n v="317707.25"/>
    <n v="3000"/>
    <n v="314707.25"/>
    <n v="1"/>
    <x v="1"/>
  </r>
  <r>
    <d v="2023-08-22T00:00:00"/>
    <x v="6"/>
    <s v="B005"/>
    <s v="Kaduna"/>
    <s v="Ibadan"/>
    <x v="37"/>
    <d v="1899-12-30T07:52:00"/>
    <d v="1899-12-30T10:38:00"/>
    <d v="1899-12-30T18:30:00"/>
    <n v="560"/>
    <n v="14"/>
    <x v="0"/>
    <n v="15940"/>
    <s v="D001"/>
    <n v="18"/>
    <x v="39"/>
    <n v="175"/>
    <n v="15"/>
    <s v="Tire Change"/>
    <n v="223160"/>
    <n v="14000"/>
    <n v="209160"/>
    <n v="3000"/>
    <n v="206160"/>
    <n v="3"/>
    <x v="3"/>
  </r>
  <r>
    <d v="2023-08-23T00:00:00"/>
    <x v="1"/>
    <s v="B001"/>
    <s v="Port Harcourt"/>
    <s v="Kaduna"/>
    <x v="8"/>
    <d v="1899-12-30T05:04:00"/>
    <d v="1899-12-30T08:38:00"/>
    <d v="1899-12-30T13:42:00"/>
    <n v="690"/>
    <n v="18"/>
    <x v="1"/>
    <n v="19636"/>
    <s v="D007"/>
    <n v="18"/>
    <x v="7"/>
    <n v="175"/>
    <n v="35"/>
    <s v="None"/>
    <n v="353448"/>
    <n v="21175"/>
    <n v="332273"/>
    <n v="3000"/>
    <n v="329273"/>
    <n v="5"/>
    <x v="2"/>
  </r>
  <r>
    <d v="2023-08-24T00:00:00"/>
    <x v="2"/>
    <s v="B006"/>
    <s v="Kaduna"/>
    <s v="Port Harcourt"/>
    <x v="2"/>
    <d v="1899-12-30T09:03:00"/>
    <d v="1899-12-30T08:30:00"/>
    <d v="1899-12-30T17:33:00"/>
    <n v="690"/>
    <n v="15"/>
    <x v="0"/>
    <n v="19636"/>
    <s v="D009"/>
    <n v="18"/>
    <x v="2"/>
    <n v="175"/>
    <n v="0"/>
    <s v="AC Issue"/>
    <n v="294540"/>
    <n v="19950"/>
    <n v="274590"/>
    <n v="3000"/>
    <n v="271590"/>
    <n v="3"/>
    <x v="3"/>
  </r>
  <r>
    <d v="2023-08-24T00:00:00"/>
    <x v="2"/>
    <s v="B010"/>
    <s v="Abuja"/>
    <s v="Enugu"/>
    <x v="4"/>
    <d v="1899-12-30T07:29:00"/>
    <d v="1899-12-30T05:38:00"/>
    <d v="1899-12-30T13:07:00"/>
    <n v="450"/>
    <n v="16"/>
    <x v="1"/>
    <n v="12806"/>
    <s v="D005"/>
    <n v="18"/>
    <x v="4"/>
    <n v="175"/>
    <n v="6"/>
    <s v="AC Issue"/>
    <n v="204896"/>
    <n v="9275"/>
    <n v="195621"/>
    <n v="3000"/>
    <n v="192621"/>
    <n v="4"/>
    <x v="0"/>
  </r>
  <r>
    <d v="2023-08-24T00:00:00"/>
    <x v="2"/>
    <s v="B012"/>
    <s v="Ibadan"/>
    <s v="Port Harcourt"/>
    <x v="43"/>
    <d v="1899-12-30T06:58:00"/>
    <d v="1899-12-30T06:15:00"/>
    <d v="1899-12-30T13:13:00"/>
    <n v="620"/>
    <n v="18"/>
    <x v="1"/>
    <n v="17655"/>
    <s v="D009"/>
    <n v="18"/>
    <x v="40"/>
    <n v="175"/>
    <n v="45"/>
    <s v="Engine Check"/>
    <n v="317790"/>
    <n v="15050"/>
    <n v="302740"/>
    <n v="3000"/>
    <n v="299740"/>
    <n v="4"/>
    <x v="0"/>
  </r>
  <r>
    <d v="2023-08-25T00:00:00"/>
    <x v="3"/>
    <s v="B006"/>
    <s v="Abuja"/>
    <s v="Benin"/>
    <x v="18"/>
    <d v="1899-12-30T07:44:00"/>
    <d v="1899-12-30T03:45:00"/>
    <d v="1899-12-30T11:29:00"/>
    <n v="500"/>
    <n v="15"/>
    <x v="1"/>
    <n v="14235"/>
    <s v="D003"/>
    <n v="18"/>
    <x v="34"/>
    <n v="175"/>
    <n v="7"/>
    <s v="Engine Check"/>
    <n v="213525"/>
    <n v="9975"/>
    <n v="203550"/>
    <n v="3000"/>
    <n v="200550"/>
    <n v="1"/>
    <x v="1"/>
  </r>
  <r>
    <d v="2023-08-27T00:00:00"/>
    <x v="5"/>
    <s v="B013"/>
    <s v="Port Harcourt"/>
    <s v="Enugu"/>
    <x v="9"/>
    <d v="1899-12-30T06:41:00"/>
    <d v="1899-12-30T03:38:00"/>
    <d v="1899-12-30T10:19:00"/>
    <n v="300"/>
    <n v="15"/>
    <x v="0"/>
    <n v="8538"/>
    <s v="D009"/>
    <n v="18"/>
    <x v="41"/>
    <n v="175"/>
    <n v="46"/>
    <s v="None"/>
    <n v="128070"/>
    <n v="6300"/>
    <n v="121770"/>
    <n v="3000"/>
    <n v="118770"/>
    <n v="5"/>
    <x v="2"/>
  </r>
  <r>
    <d v="2023-08-27T00:00:00"/>
    <x v="5"/>
    <s v="B014"/>
    <s v="Ibadan"/>
    <s v="Enugu"/>
    <x v="17"/>
    <d v="1899-12-30T10:31:00"/>
    <d v="1899-12-30T07:41:00"/>
    <d v="1899-12-30T18:12:00"/>
    <n v="535"/>
    <n v="15"/>
    <x v="1"/>
    <n v="15226"/>
    <s v="D009"/>
    <n v="18"/>
    <x v="42"/>
    <n v="175"/>
    <n v="27"/>
    <s v="None"/>
    <n v="228390"/>
    <n v="11725"/>
    <n v="216665"/>
    <n v="3000"/>
    <n v="213665"/>
    <n v="5"/>
    <x v="2"/>
  </r>
  <r>
    <d v="2023-08-28T00:00:00"/>
    <x v="0"/>
    <s v="B013"/>
    <s v="Ibadan"/>
    <s v="Kano"/>
    <x v="30"/>
    <d v="1899-12-30T05:12:00"/>
    <d v="1899-12-30T07:41:00"/>
    <d v="1899-12-30T12:53:00"/>
    <n v="860"/>
    <n v="16"/>
    <x v="0"/>
    <n v="24485"/>
    <s v="D005"/>
    <n v="18"/>
    <x v="43"/>
    <n v="175"/>
    <n v="50"/>
    <s v="None"/>
    <n v="391760"/>
    <n v="16800"/>
    <n v="374960"/>
    <n v="3000"/>
    <n v="371960"/>
    <n v="5"/>
    <x v="2"/>
  </r>
  <r>
    <d v="2023-08-28T00:00:00"/>
    <x v="0"/>
    <s v="B001"/>
    <s v="Enugu"/>
    <s v="Benin"/>
    <x v="26"/>
    <d v="1899-12-30T06:27:00"/>
    <d v="1899-12-30T06:00:00"/>
    <d v="1899-12-30T12:27:00"/>
    <n v="290"/>
    <n v="18"/>
    <x v="1"/>
    <n v="8259"/>
    <s v="D010"/>
    <n v="18"/>
    <x v="0"/>
    <n v="175"/>
    <n v="24"/>
    <s v="None"/>
    <n v="148662"/>
    <n v="9450"/>
    <n v="139212"/>
    <n v="3000"/>
    <n v="136212"/>
    <n v="5"/>
    <x v="2"/>
  </r>
  <r>
    <d v="2023-08-30T00:00:00"/>
    <x v="1"/>
    <s v="B003"/>
    <s v="Enugu"/>
    <s v="Benin"/>
    <x v="26"/>
    <d v="1899-12-30T10:17:00"/>
    <d v="1899-12-30T07:56:00"/>
    <d v="1899-12-30T18:13:00"/>
    <n v="290"/>
    <n v="14"/>
    <x v="1"/>
    <n v="8259"/>
    <s v="D008"/>
    <n v="18"/>
    <x v="0"/>
    <n v="175"/>
    <n v="17"/>
    <s v="Engine Check"/>
    <n v="115626"/>
    <n v="9450"/>
    <n v="106176"/>
    <n v="3000"/>
    <n v="103176"/>
    <n v="3"/>
    <x v="3"/>
  </r>
  <r>
    <d v="2023-08-30T00:00:00"/>
    <x v="1"/>
    <s v="B009"/>
    <s v="Port Harcourt"/>
    <s v="Lagos"/>
    <x v="10"/>
    <d v="1899-12-30T05:42:00"/>
    <d v="1899-12-30T01:38:00"/>
    <d v="1899-12-30T07:20:00"/>
    <n v="615"/>
    <n v="18"/>
    <x v="1"/>
    <n v="17505"/>
    <s v="D008"/>
    <n v="18"/>
    <x v="9"/>
    <n v="175"/>
    <n v="11"/>
    <s v="Engine Check"/>
    <n v="315090"/>
    <n v="17937.5"/>
    <n v="297152.5"/>
    <n v="3000"/>
    <n v="294152.5"/>
    <n v="4"/>
    <x v="0"/>
  </r>
  <r>
    <d v="2023-08-30T00:00:00"/>
    <x v="1"/>
    <s v="B014"/>
    <s v="Lagos"/>
    <s v="Port Harcourt"/>
    <x v="27"/>
    <d v="1899-12-30T07:59:00"/>
    <d v="1899-12-30T06:41:00"/>
    <d v="1899-12-30T14:40:00"/>
    <n v="615"/>
    <n v="15"/>
    <x v="0"/>
    <n v="17505"/>
    <s v="D002"/>
    <n v="18"/>
    <x v="40"/>
    <n v="175"/>
    <n v="27"/>
    <s v="AC Issue"/>
    <n v="262575"/>
    <n v="15050"/>
    <n v="247525"/>
    <n v="3000"/>
    <n v="244525"/>
    <n v="5"/>
    <x v="2"/>
  </r>
  <r>
    <d v="2023-08-30T00:00:00"/>
    <x v="1"/>
    <s v="B002"/>
    <s v="Kaduna"/>
    <s v="Lagos"/>
    <x v="29"/>
    <d v="1899-12-30T07:32:00"/>
    <d v="1899-12-30T03:45:00"/>
    <d v="1899-12-30T11:17:00"/>
    <n v="650"/>
    <n v="14"/>
    <x v="0"/>
    <n v="18509"/>
    <s v="D010"/>
    <n v="18"/>
    <x v="44"/>
    <n v="175"/>
    <n v="35"/>
    <s v="None"/>
    <n v="259126"/>
    <n v="19425"/>
    <n v="239701"/>
    <n v="3000"/>
    <n v="236701"/>
    <n v="1"/>
    <x v="1"/>
  </r>
  <r>
    <d v="2023-08-31T00:00:00"/>
    <x v="2"/>
    <s v="B007"/>
    <s v="Abuja"/>
    <s v="Kano"/>
    <x v="36"/>
    <d v="1899-12-30T06:56:00"/>
    <d v="1899-12-30T09:23:00"/>
    <d v="1899-12-30T16:19:00"/>
    <n v="360"/>
    <n v="15"/>
    <x v="1"/>
    <n v="7000"/>
    <s v="D008"/>
    <n v="18"/>
    <x v="28"/>
    <n v="175"/>
    <n v="42"/>
    <s v="None"/>
    <n v="105000"/>
    <n v="8925"/>
    <n v="96075"/>
    <n v="3000"/>
    <n v="93075"/>
    <n v="3"/>
    <x v="3"/>
  </r>
  <r>
    <d v="2023-08-31T00:00:00"/>
    <x v="2"/>
    <s v="B010"/>
    <s v="Lagos"/>
    <s v="Port Harcourt"/>
    <x v="27"/>
    <d v="1899-12-30T07:36:00"/>
    <d v="1899-12-30T07:15:00"/>
    <d v="1899-12-30T14:51:00"/>
    <n v="615"/>
    <n v="18"/>
    <x v="1"/>
    <n v="17505"/>
    <s v="D009"/>
    <n v="18"/>
    <x v="40"/>
    <n v="175"/>
    <n v="25"/>
    <s v="None"/>
    <n v="315090"/>
    <n v="15050"/>
    <n v="300040"/>
    <n v="3000"/>
    <n v="297040"/>
    <n v="4"/>
    <x v="0"/>
  </r>
  <r>
    <d v="2023-09-01T00:00:00"/>
    <x v="3"/>
    <s v="B010"/>
    <s v="Kaduna"/>
    <s v="Enugu"/>
    <x v="44"/>
    <d v="1899-12-30T06:29:00"/>
    <d v="1899-12-30T10:53:00"/>
    <d v="1899-12-30T17:22:00"/>
    <n v="635"/>
    <n v="16"/>
    <x v="0"/>
    <n v="18077"/>
    <s v="D010"/>
    <n v="18"/>
    <x v="45"/>
    <n v="175"/>
    <n v="34"/>
    <s v="Tire Change"/>
    <n v="289232"/>
    <n v="14700"/>
    <n v="274532"/>
    <n v="3000"/>
    <n v="271532"/>
    <n v="1"/>
    <x v="1"/>
  </r>
  <r>
    <d v="2023-09-02T00:00:00"/>
    <x v="4"/>
    <s v="B012"/>
    <s v="Ibadan"/>
    <s v="Port Harcourt"/>
    <x v="43"/>
    <d v="1899-12-30T10:22:00"/>
    <d v="1899-12-30T03:23:00"/>
    <d v="1899-12-30T13:45:00"/>
    <n v="620"/>
    <n v="17"/>
    <x v="0"/>
    <n v="17655"/>
    <s v="D001"/>
    <n v="18"/>
    <x v="40"/>
    <n v="175"/>
    <n v="32"/>
    <s v="None"/>
    <n v="300135"/>
    <n v="15050"/>
    <n v="285085"/>
    <n v="3000"/>
    <n v="282085"/>
    <n v="5"/>
    <x v="2"/>
  </r>
  <r>
    <d v="2023-09-02T00:00:00"/>
    <x v="4"/>
    <s v="B010"/>
    <s v="Lagos"/>
    <s v="Port Harcourt"/>
    <x v="27"/>
    <d v="1899-12-30T10:28:00"/>
    <d v="1899-12-30T05:38:00"/>
    <d v="1899-12-30T16:06:00"/>
    <n v="615"/>
    <n v="16"/>
    <x v="1"/>
    <n v="17505"/>
    <s v="D008"/>
    <n v="18"/>
    <x v="40"/>
    <n v="175"/>
    <n v="33"/>
    <s v="None"/>
    <n v="280080"/>
    <n v="15050"/>
    <n v="265030"/>
    <n v="3000"/>
    <n v="262030"/>
    <n v="4"/>
    <x v="0"/>
  </r>
  <r>
    <d v="2023-09-03T00:00:00"/>
    <x v="5"/>
    <s v="B010"/>
    <s v="Lagos"/>
    <s v="Ibadan"/>
    <x v="19"/>
    <d v="1899-12-30T10:15:00"/>
    <d v="1899-12-30T07:56:00"/>
    <d v="1899-12-30T18:11:00"/>
    <n v="130"/>
    <n v="16"/>
    <x v="1"/>
    <n v="3702"/>
    <s v="D004"/>
    <n v="18"/>
    <x v="36"/>
    <n v="175"/>
    <n v="34"/>
    <s v="None"/>
    <n v="59232"/>
    <n v="3325"/>
    <n v="55907"/>
    <n v="3000"/>
    <n v="52907"/>
    <n v="5"/>
    <x v="2"/>
  </r>
  <r>
    <d v="2023-09-03T00:00:00"/>
    <x v="5"/>
    <s v="B001"/>
    <s v="Abuja"/>
    <s v="Kano"/>
    <x v="36"/>
    <d v="1899-12-30T08:03:00"/>
    <d v="1899-12-30T11:08:00"/>
    <d v="1899-12-30T19:11:00"/>
    <n v="360"/>
    <n v="17"/>
    <x v="0"/>
    <n v="7000"/>
    <s v="D008"/>
    <n v="18"/>
    <x v="28"/>
    <n v="175"/>
    <n v="40"/>
    <s v="Tire Change"/>
    <n v="119000"/>
    <n v="8925"/>
    <n v="110075"/>
    <n v="3000"/>
    <n v="107075"/>
    <n v="3"/>
    <x v="3"/>
  </r>
  <r>
    <d v="2023-09-03T00:00:00"/>
    <x v="5"/>
    <s v="B014"/>
    <s v="Enugu"/>
    <s v="Ibadan"/>
    <x v="45"/>
    <d v="1899-12-30T10:45:00"/>
    <d v="1899-12-30T06:15:00"/>
    <d v="1899-12-30T17:00:00"/>
    <n v="535"/>
    <n v="15"/>
    <x v="1"/>
    <n v="15226"/>
    <s v="D006"/>
    <n v="18"/>
    <x v="42"/>
    <n v="175"/>
    <n v="48"/>
    <s v="None"/>
    <n v="228390"/>
    <n v="11725"/>
    <n v="216665"/>
    <n v="3000"/>
    <n v="213665"/>
    <n v="1"/>
    <x v="1"/>
  </r>
  <r>
    <d v="2023-09-03T00:00:00"/>
    <x v="5"/>
    <s v="B014"/>
    <s v="Enugu"/>
    <s v="Port Harcourt"/>
    <x v="46"/>
    <d v="1899-12-30T07:01:00"/>
    <d v="1899-12-30T06:00:00"/>
    <d v="1899-12-30T13:01:00"/>
    <n v="300"/>
    <n v="17"/>
    <x v="1"/>
    <n v="8538"/>
    <s v="D005"/>
    <n v="18"/>
    <x v="41"/>
    <n v="175"/>
    <n v="35"/>
    <s v="AC Issue"/>
    <n v="145146"/>
    <n v="6300"/>
    <n v="138846"/>
    <n v="3000"/>
    <n v="135846"/>
    <n v="5"/>
    <x v="2"/>
  </r>
  <r>
    <d v="2023-09-04T00:00:00"/>
    <x v="0"/>
    <s v="B002"/>
    <s v="Ibadan"/>
    <s v="Port Harcourt"/>
    <x v="43"/>
    <d v="1899-12-30T07:40:00"/>
    <d v="1899-12-30T06:00:00"/>
    <d v="1899-12-30T13:40:00"/>
    <n v="620"/>
    <n v="17"/>
    <x v="1"/>
    <n v="17655"/>
    <s v="D009"/>
    <n v="18"/>
    <x v="40"/>
    <n v="175"/>
    <n v="35"/>
    <s v="AC Issue"/>
    <n v="300135"/>
    <n v="15050"/>
    <n v="285085"/>
    <n v="3000"/>
    <n v="282085"/>
    <n v="2"/>
    <x v="4"/>
  </r>
  <r>
    <d v="2023-09-06T00:00:00"/>
    <x v="1"/>
    <s v="B007"/>
    <s v="Lagos"/>
    <s v="Port Harcourt"/>
    <x v="27"/>
    <d v="1899-12-30T09:46:00"/>
    <d v="1899-12-30T11:00:00"/>
    <d v="1899-12-30T20:46:00"/>
    <n v="615"/>
    <n v="17"/>
    <x v="0"/>
    <n v="17505"/>
    <s v="D008"/>
    <n v="18"/>
    <x v="40"/>
    <n v="175"/>
    <n v="42"/>
    <s v="Tire Change"/>
    <n v="297585"/>
    <n v="15050"/>
    <n v="282535"/>
    <n v="3000"/>
    <n v="279535"/>
    <n v="3"/>
    <x v="3"/>
  </r>
  <r>
    <d v="2023-09-06T00:00:00"/>
    <x v="1"/>
    <s v="B008"/>
    <s v="Lagos"/>
    <s v="Abuja"/>
    <x v="5"/>
    <d v="1899-12-30T06:07:00"/>
    <d v="1899-12-30T11:00:00"/>
    <d v="1899-12-30T17:07:00"/>
    <n v="750"/>
    <n v="14"/>
    <x v="0"/>
    <n v="21344"/>
    <s v="D003"/>
    <n v="18"/>
    <x v="18"/>
    <n v="175"/>
    <n v="28"/>
    <s v="Tire Change"/>
    <n v="298816"/>
    <n v="21875"/>
    <n v="276941"/>
    <n v="3000"/>
    <n v="273941"/>
    <n v="1"/>
    <x v="1"/>
  </r>
  <r>
    <d v="2023-09-09T00:00:00"/>
    <x v="4"/>
    <s v="B010"/>
    <s v="Abuja"/>
    <s v="Ibadan"/>
    <x v="16"/>
    <d v="1899-12-30T05:06:00"/>
    <d v="1899-12-30T10:30:00"/>
    <d v="1899-12-30T15:36:00"/>
    <n v="580"/>
    <n v="15"/>
    <x v="1"/>
    <n v="16507"/>
    <s v="D006"/>
    <n v="18"/>
    <x v="11"/>
    <n v="175"/>
    <n v="14"/>
    <s v="AC Issue"/>
    <n v="247605"/>
    <n v="16917.25"/>
    <n v="230687.75"/>
    <n v="3000"/>
    <n v="227687.75"/>
    <n v="1"/>
    <x v="1"/>
  </r>
  <r>
    <d v="2023-09-10T00:00:00"/>
    <x v="5"/>
    <s v="B004"/>
    <s v="Ibadan"/>
    <s v="Enugu"/>
    <x v="17"/>
    <d v="1899-12-30T10:28:00"/>
    <d v="1899-12-30T09:00:00"/>
    <d v="1899-12-30T19:28:00"/>
    <n v="535"/>
    <n v="16"/>
    <x v="0"/>
    <n v="15226"/>
    <s v="D002"/>
    <n v="18"/>
    <x v="17"/>
    <n v="175"/>
    <n v="14"/>
    <s v="Engine Check"/>
    <n v="243616"/>
    <n v="15604.75"/>
    <n v="228011.25"/>
    <n v="3000"/>
    <n v="225011.25"/>
    <n v="3"/>
    <x v="3"/>
  </r>
  <r>
    <d v="2023-09-11T00:00:00"/>
    <x v="0"/>
    <s v="B007"/>
    <s v="Port Harcourt"/>
    <s v="Lagos"/>
    <x v="10"/>
    <d v="1899-12-30T07:57:00"/>
    <d v="1899-12-30T10:00:00"/>
    <d v="1899-12-30T17:57:00"/>
    <n v="615"/>
    <n v="17"/>
    <x v="0"/>
    <n v="17505"/>
    <s v="D002"/>
    <n v="18"/>
    <x v="9"/>
    <n v="175"/>
    <n v="53"/>
    <s v="AC Issue"/>
    <n v="297585"/>
    <n v="17937.5"/>
    <n v="279647.5"/>
    <n v="3000"/>
    <n v="276647.5"/>
    <n v="2"/>
    <x v="4"/>
  </r>
  <r>
    <d v="2023-09-11T00:00:00"/>
    <x v="0"/>
    <s v="B007"/>
    <s v="Kano"/>
    <s v="Ibadan"/>
    <x v="42"/>
    <d v="1899-12-30T08:31:00"/>
    <d v="1899-12-30T11:45:00"/>
    <d v="1899-12-30T20:16:00"/>
    <n v="870"/>
    <n v="14"/>
    <x v="0"/>
    <n v="24758"/>
    <s v="D005"/>
    <n v="18"/>
    <x v="43"/>
    <n v="175"/>
    <n v="10"/>
    <s v="AC Issue"/>
    <n v="346612"/>
    <n v="16800"/>
    <n v="329812"/>
    <n v="3000"/>
    <n v="326812"/>
    <n v="5"/>
    <x v="2"/>
  </r>
  <r>
    <d v="2023-09-15T00:00:00"/>
    <x v="3"/>
    <s v="B005"/>
    <s v="Abuja"/>
    <s v="Kano"/>
    <x v="36"/>
    <d v="1899-12-30T06:19:00"/>
    <d v="1899-12-30T12:00:00"/>
    <d v="1899-12-30T18:19:00"/>
    <n v="360"/>
    <n v="13"/>
    <x v="0"/>
    <n v="7000"/>
    <s v="D004"/>
    <n v="18"/>
    <x v="28"/>
    <n v="175"/>
    <n v="24"/>
    <s v="Engine Check"/>
    <n v="91000"/>
    <n v="8925"/>
    <n v="82075"/>
    <n v="3000"/>
    <n v="79075"/>
    <n v="3"/>
    <x v="3"/>
  </r>
  <r>
    <d v="2023-09-15T00:00:00"/>
    <x v="3"/>
    <s v="B004"/>
    <s v="Benin"/>
    <s v="Ibadan"/>
    <x v="40"/>
    <d v="1899-12-30T09:28:00"/>
    <d v="1899-12-30T06:00:00"/>
    <d v="1899-12-30T15:28:00"/>
    <n v="270"/>
    <n v="13"/>
    <x v="0"/>
    <n v="7684"/>
    <s v="D009"/>
    <n v="18"/>
    <x v="46"/>
    <n v="175"/>
    <n v="11"/>
    <s v="None"/>
    <n v="99892"/>
    <n v="6825"/>
    <n v="93067"/>
    <n v="3000"/>
    <n v="90067"/>
    <n v="5"/>
    <x v="2"/>
  </r>
  <r>
    <d v="2023-09-17T00:00:00"/>
    <x v="5"/>
    <s v="B007"/>
    <s v="Enugu"/>
    <s v="Ibadan"/>
    <x v="45"/>
    <d v="1899-12-30T05:31:00"/>
    <d v="1899-12-30T06:00:00"/>
    <d v="1899-12-30T11:31:00"/>
    <n v="535"/>
    <n v="15"/>
    <x v="0"/>
    <n v="15226"/>
    <s v="D009"/>
    <n v="18"/>
    <x v="42"/>
    <n v="175"/>
    <n v="22"/>
    <s v="Engine Check"/>
    <n v="228390"/>
    <n v="11725"/>
    <n v="216665"/>
    <n v="3000"/>
    <n v="213665"/>
    <n v="4"/>
    <x v="0"/>
  </r>
  <r>
    <d v="2023-09-17T00:00:00"/>
    <x v="5"/>
    <s v="B002"/>
    <s v="Port Harcourt"/>
    <s v="Lagos"/>
    <x v="10"/>
    <d v="1899-12-30T05:29:00"/>
    <d v="1899-12-30T10:00:00"/>
    <d v="1899-12-30T15:29:00"/>
    <n v="615"/>
    <n v="13"/>
    <x v="0"/>
    <n v="17505"/>
    <s v="D004"/>
    <n v="18"/>
    <x v="9"/>
    <n v="175"/>
    <n v="56"/>
    <s v="Tire Change"/>
    <n v="227565"/>
    <n v="17937.5"/>
    <n v="209627.5"/>
    <n v="3000"/>
    <n v="206627.5"/>
    <n v="5"/>
    <x v="2"/>
  </r>
  <r>
    <d v="2023-09-18T00:00:00"/>
    <x v="0"/>
    <s v="B010"/>
    <s v="Enugu"/>
    <s v="Benin"/>
    <x v="26"/>
    <d v="1899-12-30T09:28:00"/>
    <d v="1899-12-30T07:41:00"/>
    <d v="1899-12-30T17:09:00"/>
    <n v="290"/>
    <n v="18"/>
    <x v="0"/>
    <n v="8259"/>
    <s v="D003"/>
    <n v="18"/>
    <x v="25"/>
    <n v="175"/>
    <n v="21"/>
    <s v="Tire Change"/>
    <n v="148662"/>
    <n v="8457.75"/>
    <n v="140204.25"/>
    <n v="3000"/>
    <n v="137204.25"/>
    <n v="5"/>
    <x v="2"/>
  </r>
  <r>
    <d v="2023-09-18T00:00:00"/>
    <x v="0"/>
    <s v="B009"/>
    <s v="Benin"/>
    <s v="Ibadan"/>
    <x v="40"/>
    <d v="1899-12-30T07:52:00"/>
    <d v="1899-12-30T07:00:00"/>
    <d v="1899-12-30T14:52:00"/>
    <n v="270"/>
    <n v="16"/>
    <x v="0"/>
    <n v="7684"/>
    <s v="D006"/>
    <n v="18"/>
    <x v="46"/>
    <n v="175"/>
    <n v="20"/>
    <s v="None"/>
    <n v="122944"/>
    <n v="6825"/>
    <n v="116119"/>
    <n v="3000"/>
    <n v="113119"/>
    <n v="3"/>
    <x v="3"/>
  </r>
  <r>
    <d v="2023-09-18T00:00:00"/>
    <x v="0"/>
    <s v="B009"/>
    <s v="Lagos"/>
    <s v="Kano"/>
    <x v="6"/>
    <d v="1899-12-30T06:31:00"/>
    <d v="1899-12-30T06:00:00"/>
    <d v="1899-12-30T12:31:00"/>
    <n v="835"/>
    <n v="15"/>
    <x v="1"/>
    <n v="23762"/>
    <s v="D002"/>
    <n v="18"/>
    <x v="12"/>
    <n v="175"/>
    <n v="22"/>
    <s v="None"/>
    <n v="356430"/>
    <n v="24354.749999999996"/>
    <n v="332075.25"/>
    <n v="3000"/>
    <n v="329075.25"/>
    <n v="1"/>
    <x v="1"/>
  </r>
  <r>
    <d v="2023-09-19T00:00:00"/>
    <x v="6"/>
    <s v="B007"/>
    <s v="Port Harcourt"/>
    <s v="Lagos"/>
    <x v="10"/>
    <d v="1899-12-30T10:17:00"/>
    <d v="1899-12-30T10:26:00"/>
    <d v="1899-12-30T20:43:00"/>
    <n v="615"/>
    <n v="14"/>
    <x v="1"/>
    <n v="17505"/>
    <s v="D004"/>
    <n v="18"/>
    <x v="9"/>
    <n v="175"/>
    <n v="38"/>
    <s v="Tire Change"/>
    <n v="245070"/>
    <n v="17937.5"/>
    <n v="227132.5"/>
    <n v="3000"/>
    <n v="224132.5"/>
    <n v="3"/>
    <x v="3"/>
  </r>
  <r>
    <d v="2023-09-19T00:00:00"/>
    <x v="6"/>
    <s v="B014"/>
    <s v="Kano"/>
    <s v="Ibadan"/>
    <x v="42"/>
    <d v="1899-12-30T10:39:00"/>
    <d v="1899-12-30T07:41:00"/>
    <d v="1899-12-30T18:20:00"/>
    <n v="870"/>
    <n v="16"/>
    <x v="0"/>
    <n v="24758"/>
    <s v="D006"/>
    <n v="18"/>
    <x v="43"/>
    <n v="175"/>
    <n v="24"/>
    <s v="None"/>
    <n v="396128"/>
    <n v="16800"/>
    <n v="379328"/>
    <n v="3000"/>
    <n v="376328"/>
    <n v="3"/>
    <x v="3"/>
  </r>
  <r>
    <d v="2023-09-20T00:00:00"/>
    <x v="1"/>
    <s v="B011"/>
    <s v="Port Harcourt"/>
    <s v="Lagos"/>
    <x v="10"/>
    <d v="1899-12-30T09:57:00"/>
    <d v="1899-12-30T12:00:00"/>
    <d v="1899-12-30T21:57:00"/>
    <n v="615"/>
    <n v="16"/>
    <x v="1"/>
    <n v="17505"/>
    <s v="D003"/>
    <n v="18"/>
    <x v="9"/>
    <n v="175"/>
    <n v="1"/>
    <s v="None"/>
    <n v="280080"/>
    <n v="17937.5"/>
    <n v="262142.5"/>
    <n v="3000"/>
    <n v="259142.5"/>
    <n v="2"/>
    <x v="4"/>
  </r>
  <r>
    <d v="2023-09-22T00:00:00"/>
    <x v="3"/>
    <s v="B007"/>
    <s v="Port Harcourt"/>
    <s v="Ibadan"/>
    <x v="21"/>
    <d v="1899-12-30T08:00:00"/>
    <d v="1899-12-30T07:41:00"/>
    <d v="1899-12-30T15:41:00"/>
    <n v="450"/>
    <n v="14"/>
    <x v="0"/>
    <n v="12806"/>
    <s v="D008"/>
    <n v="18"/>
    <x v="22"/>
    <n v="175"/>
    <n v="0"/>
    <s v="AC Issue"/>
    <n v="179284"/>
    <n v="18082.75"/>
    <n v="161201.25"/>
    <n v="3000"/>
    <n v="158201.25"/>
    <n v="3"/>
    <x v="3"/>
  </r>
  <r>
    <d v="2023-09-22T00:00:00"/>
    <x v="3"/>
    <s v="B012"/>
    <s v="Lagos"/>
    <s v="Ibadan"/>
    <x v="19"/>
    <d v="1899-12-30T08:47:00"/>
    <d v="1899-12-30T11:00:00"/>
    <d v="1899-12-30T19:47:00"/>
    <n v="130"/>
    <n v="14"/>
    <x v="1"/>
    <n v="3702"/>
    <s v="D005"/>
    <n v="18"/>
    <x v="20"/>
    <n v="175"/>
    <n v="5"/>
    <s v="None"/>
    <n v="51828"/>
    <n v="3792.2500000000005"/>
    <n v="48035.75"/>
    <n v="3000"/>
    <n v="45035.75"/>
    <n v="3"/>
    <x v="3"/>
  </r>
  <r>
    <d v="2023-09-23T00:00:00"/>
    <x v="4"/>
    <s v="B007"/>
    <s v="Benin"/>
    <s v="Ibadan"/>
    <x v="40"/>
    <d v="1899-12-30T09:49:00"/>
    <d v="1899-12-30T03:00:00"/>
    <d v="1899-12-30T12:49:00"/>
    <n v="270"/>
    <n v="15"/>
    <x v="0"/>
    <n v="7684"/>
    <s v="D001"/>
    <n v="18"/>
    <x v="35"/>
    <n v="175"/>
    <n v="24"/>
    <s v="Engine Check"/>
    <n v="115260"/>
    <n v="7875"/>
    <n v="107385"/>
    <n v="3000"/>
    <n v="104385"/>
    <n v="3"/>
    <x v="3"/>
  </r>
  <r>
    <d v="2023-09-23T00:00:00"/>
    <x v="4"/>
    <s v="B012"/>
    <s v="Port Harcourt"/>
    <s v="Enugu"/>
    <x v="9"/>
    <d v="1899-12-30T09:50:00"/>
    <d v="1899-12-30T06:00:00"/>
    <d v="1899-12-30T15:50:00"/>
    <n v="300"/>
    <n v="13"/>
    <x v="0"/>
    <n v="8538"/>
    <s v="D001"/>
    <n v="18"/>
    <x v="8"/>
    <n v="175"/>
    <n v="60"/>
    <s v="Tire Change"/>
    <n v="110994"/>
    <n v="8750"/>
    <n v="102244"/>
    <n v="3000"/>
    <n v="99244"/>
    <n v="4"/>
    <x v="0"/>
  </r>
  <r>
    <d v="2023-09-24T00:00:00"/>
    <x v="5"/>
    <s v="B004"/>
    <s v="Enugu"/>
    <s v="Kaduna"/>
    <x v="11"/>
    <d v="1899-12-30T10:11:00"/>
    <d v="1899-12-30T03:45:00"/>
    <d v="1899-12-30T13:56:00"/>
    <n v="635"/>
    <n v="17"/>
    <x v="0"/>
    <n v="18077"/>
    <s v="D008"/>
    <n v="18"/>
    <x v="10"/>
    <n v="175"/>
    <n v="7"/>
    <s v="Engine Check"/>
    <n v="307309"/>
    <n v="18520.25"/>
    <n v="288788.75"/>
    <n v="3000"/>
    <n v="285788.75"/>
    <n v="3"/>
    <x v="3"/>
  </r>
  <r>
    <d v="2023-09-26T00:00:00"/>
    <x v="6"/>
    <s v="B011"/>
    <s v="Kano"/>
    <s v="Port Harcourt"/>
    <x v="15"/>
    <d v="1899-12-30T10:40:00"/>
    <d v="1899-12-30T07:56:00"/>
    <d v="1899-12-30T18:36:00"/>
    <n v="890"/>
    <n v="18"/>
    <x v="1"/>
    <n v="25323"/>
    <s v="D006"/>
    <n v="18"/>
    <x v="16"/>
    <n v="175"/>
    <n v="40"/>
    <s v="None"/>
    <n v="455814"/>
    <n v="25957.750000000004"/>
    <n v="429856.25"/>
    <n v="3000"/>
    <n v="426856.25"/>
    <n v="4"/>
    <x v="0"/>
  </r>
  <r>
    <d v="2023-09-26T00:00:00"/>
    <x v="6"/>
    <s v="B004"/>
    <s v="Benin"/>
    <s v="Abuja"/>
    <x v="38"/>
    <d v="1899-12-30T09:01:00"/>
    <d v="1899-12-30T11:08:00"/>
    <d v="1899-12-30T20:09:00"/>
    <n v="500"/>
    <n v="18"/>
    <x v="0"/>
    <n v="14235"/>
    <s v="D008"/>
    <n v="18"/>
    <x v="19"/>
    <n v="175"/>
    <n v="17"/>
    <s v="Engine Check"/>
    <n v="256230"/>
    <n v="14582.75"/>
    <n v="241647.25"/>
    <n v="3000"/>
    <n v="238647.25"/>
    <n v="3"/>
    <x v="3"/>
  </r>
  <r>
    <d v="2023-09-29T00:00:00"/>
    <x v="3"/>
    <s v="B011"/>
    <s v="Benin"/>
    <s v="Ibadan"/>
    <x v="40"/>
    <d v="1899-12-30T08:08:00"/>
    <d v="1899-12-30T07:00:00"/>
    <d v="1899-12-30T15:08:00"/>
    <n v="270"/>
    <n v="15"/>
    <x v="0"/>
    <n v="7684"/>
    <s v="D004"/>
    <n v="18"/>
    <x v="35"/>
    <n v="175"/>
    <n v="5"/>
    <s v="AC Issue"/>
    <n v="115260"/>
    <n v="7875"/>
    <n v="107385"/>
    <n v="3000"/>
    <n v="104385"/>
    <n v="1"/>
    <x v="1"/>
  </r>
  <r>
    <d v="2023-09-29T00:00:00"/>
    <x v="3"/>
    <s v="B011"/>
    <s v="Enugu"/>
    <s v="Lagos"/>
    <x v="13"/>
    <d v="1899-12-30T05:16:00"/>
    <d v="1899-12-30T06:00:00"/>
    <d v="1899-12-30T11:16:00"/>
    <n v="535"/>
    <n v="14"/>
    <x v="1"/>
    <n v="15226"/>
    <s v="D009"/>
    <n v="18"/>
    <x v="14"/>
    <n v="175"/>
    <n v="35"/>
    <s v="AC Issue"/>
    <n v="213164"/>
    <n v="15457.75"/>
    <n v="197706.25"/>
    <n v="3000"/>
    <n v="194706.25"/>
    <n v="3"/>
    <x v="3"/>
  </r>
  <r>
    <d v="2023-09-30T00:00:00"/>
    <x v="4"/>
    <s v="B010"/>
    <s v="Ibadan"/>
    <s v="Port Harcourt"/>
    <x v="43"/>
    <d v="1899-12-30T08:21:00"/>
    <d v="1899-12-30T06:38:00"/>
    <d v="1899-12-30T14:59:00"/>
    <n v="450"/>
    <n v="15"/>
    <x v="0"/>
    <n v="12806"/>
    <s v="D010"/>
    <n v="18"/>
    <x v="22"/>
    <n v="175"/>
    <n v="49"/>
    <s v="None"/>
    <n v="192090"/>
    <n v="18082.75"/>
    <n v="174007.25"/>
    <n v="3000"/>
    <n v="171007.25"/>
    <n v="4"/>
    <x v="0"/>
  </r>
  <r>
    <d v="2023-09-30T00:00:00"/>
    <x v="4"/>
    <s v="B002"/>
    <s v="Lagos"/>
    <s v="Ibadan"/>
    <x v="19"/>
    <d v="1899-12-30T09:42:00"/>
    <d v="1899-12-30T11:00:00"/>
    <d v="1899-12-30T20:42:00"/>
    <n v="130"/>
    <n v="13"/>
    <x v="1"/>
    <n v="3702"/>
    <s v="D003"/>
    <n v="18"/>
    <x v="20"/>
    <n v="175"/>
    <n v="13"/>
    <s v="None"/>
    <n v="48126"/>
    <n v="3792.2500000000005"/>
    <n v="44333.75"/>
    <n v="3000"/>
    <n v="41333.75"/>
    <n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98FC04-840F-478F-B3A1-85132D75801F}" name="PivotTable20"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
  <location ref="F47:G58" firstHeaderRow="1" firstDataRow="1" firstDataCol="1"/>
  <pivotFields count="26">
    <pivotField numFmtId="166" showAll="0"/>
    <pivotField showAll="0">
      <items count="8">
        <item x="5"/>
        <item x="0"/>
        <item x="6"/>
        <item x="1"/>
        <item x="2"/>
        <item x="3"/>
        <item x="4"/>
        <item t="default"/>
      </items>
    </pivotField>
    <pivotField showAll="0"/>
    <pivotField showAll="0"/>
    <pivotField showAll="0"/>
    <pivotField axis="axisRow" showAll="0" measureFilter="1" sortType="ascending">
      <items count="48">
        <item x="18"/>
        <item x="4"/>
        <item x="16"/>
        <item x="35"/>
        <item x="36"/>
        <item x="7"/>
        <item x="38"/>
        <item x="40"/>
        <item x="3"/>
        <item x="22"/>
        <item x="14"/>
        <item x="0"/>
        <item x="26"/>
        <item x="45"/>
        <item x="11"/>
        <item x="13"/>
        <item x="46"/>
        <item x="23"/>
        <item x="17"/>
        <item x="30"/>
        <item x="41"/>
        <item x="43"/>
        <item x="28"/>
        <item x="44"/>
        <item x="37"/>
        <item x="1"/>
        <item x="29"/>
        <item x="2"/>
        <item x="32"/>
        <item x="24"/>
        <item x="42"/>
        <item x="34"/>
        <item x="20"/>
        <item x="15"/>
        <item x="5"/>
        <item x="12"/>
        <item x="19"/>
        <item x="31"/>
        <item x="6"/>
        <item x="27"/>
        <item x="33"/>
        <item x="25"/>
        <item x="9"/>
        <item x="21"/>
        <item x="8"/>
        <item x="39"/>
        <item x="1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showAll="0"/>
    <pivotField dataField="1" showAll="0"/>
    <pivotField showAll="0"/>
    <pivotField numFmtId="165" showAll="0"/>
    <pivotField showAll="0"/>
    <pivotField showAll="0"/>
    <pivotField showAll="0"/>
    <pivotField numFmtId="165" showAll="0"/>
    <pivotField showAll="0"/>
    <pivotField showAll="0"/>
    <pivotField numFmtId="165" showAll="0"/>
    <pivotField numFmtId="165" showAll="0"/>
    <pivotField numFmtId="165" showAll="0"/>
    <pivotField numFmtId="165" showAll="0"/>
    <pivotField numFmtId="165" showAll="0"/>
    <pivotField numFmtId="1" showAll="0"/>
    <pivotField showAll="0"/>
  </pivotFields>
  <rowFields count="1">
    <field x="5"/>
  </rowFields>
  <rowItems count="11">
    <i>
      <x v="7"/>
    </i>
    <i>
      <x v="12"/>
    </i>
    <i>
      <x v="17"/>
    </i>
    <i>
      <x v="38"/>
    </i>
    <i>
      <x v="43"/>
    </i>
    <i>
      <x/>
    </i>
    <i>
      <x v="8"/>
    </i>
    <i>
      <x v="39"/>
    </i>
    <i>
      <x v="18"/>
    </i>
    <i>
      <x v="46"/>
    </i>
    <i t="grand">
      <x/>
    </i>
  </rowItems>
  <colItems count="1">
    <i/>
  </colItems>
  <dataFields count="1">
    <dataField name="Sum of Number of Passengers" fld="10" baseField="2"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1078E8-38AB-46B9-9231-7397AF267313}" name="PivotTable12"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rating">
  <location ref="A111:B159" firstHeaderRow="1" firstDataRow="1" firstDataCol="1"/>
  <pivotFields count="26">
    <pivotField numFmtId="166" showAll="0"/>
    <pivotField showAll="0">
      <items count="8">
        <item x="5"/>
        <item x="0"/>
        <item x="6"/>
        <item x="1"/>
        <item x="2"/>
        <item x="3"/>
        <item x="4"/>
        <item t="default"/>
      </items>
    </pivotField>
    <pivotField showAll="0"/>
    <pivotField showAll="0"/>
    <pivotField showAll="0"/>
    <pivotField showAll="0"/>
    <pivotField numFmtId="164" showAll="0"/>
    <pivotField numFmtId="164" showAll="0"/>
    <pivotField numFmtId="164" showAll="0"/>
    <pivotField dataField="1" showAll="0"/>
    <pivotField showAll="0"/>
    <pivotField showAll="0"/>
    <pivotField numFmtId="165" showAll="0"/>
    <pivotField showAll="0"/>
    <pivotField showAll="0"/>
    <pivotField axis="axisRow" showAll="0">
      <items count="48">
        <item x="36"/>
        <item x="20"/>
        <item x="1"/>
        <item x="31"/>
        <item x="41"/>
        <item x="30"/>
        <item x="46"/>
        <item x="35"/>
        <item x="13"/>
        <item x="25"/>
        <item x="8"/>
        <item x="28"/>
        <item x="4"/>
        <item x="23"/>
        <item x="0"/>
        <item x="34"/>
        <item x="38"/>
        <item x="32"/>
        <item x="42"/>
        <item x="15"/>
        <item x="3"/>
        <item x="39"/>
        <item x="19"/>
        <item x="45"/>
        <item x="40"/>
        <item x="14"/>
        <item x="17"/>
        <item x="43"/>
        <item x="11"/>
        <item x="29"/>
        <item x="9"/>
        <item x="22"/>
        <item x="10"/>
        <item x="26"/>
        <item x="5"/>
        <item x="44"/>
        <item x="24"/>
        <item x="2"/>
        <item x="37"/>
        <item x="6"/>
        <item x="7"/>
        <item x="18"/>
        <item x="21"/>
        <item x="12"/>
        <item x="27"/>
        <item x="33"/>
        <item x="16"/>
        <item t="default"/>
      </items>
    </pivotField>
    <pivotField numFmtId="165" showAll="0"/>
    <pivotField showAll="0"/>
    <pivotField showAll="0"/>
    <pivotField numFmtId="165" showAll="0"/>
    <pivotField numFmtId="165" showAll="0"/>
    <pivotField numFmtId="165" showAll="0"/>
    <pivotField numFmtId="165" showAll="0"/>
    <pivotField numFmtId="165" showAll="0"/>
    <pivotField numFmtId="1" showAll="0"/>
    <pivotField showAll="0"/>
  </pivotFields>
  <rowFields count="1">
    <field x="1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Distance (km)" fld="9" baseField="0" baseItem="0"/>
  </dataFields>
  <formats count="2">
    <format dxfId="4">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F3AC22-9471-46AC-BEC3-0A7164130B81}" name="PivotTable10"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customer rating">
  <location ref="A101:B107" firstHeaderRow="1" firstDataRow="1" firstDataCol="1"/>
  <pivotFields count="26">
    <pivotField numFmtId="166" showAll="0"/>
    <pivotField showAll="0">
      <items count="8">
        <item x="5"/>
        <item x="0"/>
        <item x="6"/>
        <item x="1"/>
        <item x="2"/>
        <item x="3"/>
        <item x="4"/>
        <item t="default"/>
      </items>
    </pivotField>
    <pivotField showAll="0"/>
    <pivotField showAll="0"/>
    <pivotField showAll="0"/>
    <pivotField showAll="0"/>
    <pivotField numFmtId="164" showAll="0"/>
    <pivotField numFmtId="164" showAll="0"/>
    <pivotField numFmtId="164" showAll="0"/>
    <pivotField showAll="0"/>
    <pivotField showAll="0"/>
    <pivotField showAll="0"/>
    <pivotField numFmtId="165" showAll="0"/>
    <pivotField showAll="0"/>
    <pivotField showAll="0"/>
    <pivotField showAll="0"/>
    <pivotField numFmtId="165" showAll="0"/>
    <pivotField showAll="0"/>
    <pivotField showAll="0"/>
    <pivotField numFmtId="165" showAll="0"/>
    <pivotField numFmtId="165" showAll="0"/>
    <pivotField numFmtId="165" showAll="0"/>
    <pivotField numFmtId="165" showAll="0"/>
    <pivotField numFmtId="165" showAll="0"/>
    <pivotField dataField="1" numFmtId="1" showAll="0"/>
    <pivotField axis="axisRow" showAll="0" sortType="ascending">
      <items count="6">
        <item x="4"/>
        <item x="3"/>
        <item x="0"/>
        <item x="1"/>
        <item x="2"/>
        <item t="default"/>
      </items>
      <autoSortScope>
        <pivotArea dataOnly="0" outline="0" fieldPosition="0">
          <references count="1">
            <reference field="4294967294" count="1" selected="0">
              <x v="0"/>
            </reference>
          </references>
        </pivotArea>
      </autoSortScope>
    </pivotField>
  </pivotFields>
  <rowFields count="1">
    <field x="25"/>
  </rowFields>
  <rowItems count="6">
    <i>
      <x v="3"/>
    </i>
    <i>
      <x/>
    </i>
    <i>
      <x v="1"/>
    </i>
    <i>
      <x v="2"/>
    </i>
    <i>
      <x v="4"/>
    </i>
    <i t="grand">
      <x/>
    </i>
  </rowItems>
  <colItems count="1">
    <i/>
  </colItems>
  <dataFields count="1">
    <dataField name="Sum of Customer Rating" fld="24" baseField="0" baseItem="0"/>
  </dataFields>
  <formats count="2">
    <format dxfId="6">
      <pivotArea outline="0" collapsedLevelsAreSubtotals="1" fieldPosition="0"/>
    </format>
    <format dxfId="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E32087-241C-4DE6-9E77-97680B43586B}" name="PivotTable8"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Route">
  <location ref="A94:B97" firstHeaderRow="1" firstDataRow="1" firstDataCol="1"/>
  <pivotFields count="26">
    <pivotField numFmtId="166" showAll="0"/>
    <pivotField showAll="0">
      <items count="8">
        <item x="5"/>
        <item x="0"/>
        <item x="6"/>
        <item x="1"/>
        <item x="2"/>
        <item x="3"/>
        <item x="4"/>
        <item t="default"/>
      </items>
    </pivotField>
    <pivotField showAll="0"/>
    <pivotField showAll="0"/>
    <pivotField showAll="0"/>
    <pivotField showAll="0"/>
    <pivotField numFmtId="164" showAll="0"/>
    <pivotField numFmtId="164" showAll="0"/>
    <pivotField numFmtId="164" showAll="0"/>
    <pivotField showAll="0"/>
    <pivotField dataField="1" showAll="0"/>
    <pivotField axis="axisRow" showAll="0">
      <items count="3">
        <item x="1"/>
        <item x="0"/>
        <item t="default"/>
      </items>
    </pivotField>
    <pivotField numFmtId="165" showAll="0"/>
    <pivotField showAll="0"/>
    <pivotField showAll="0"/>
    <pivotField showAll="0"/>
    <pivotField numFmtId="165" showAll="0"/>
    <pivotField showAll="0"/>
    <pivotField showAll="0"/>
    <pivotField numFmtId="165" showAll="0"/>
    <pivotField numFmtId="165" showAll="0"/>
    <pivotField numFmtId="165" showAll="0"/>
    <pivotField numFmtId="165" showAll="0"/>
    <pivotField numFmtId="165" showAll="0"/>
    <pivotField numFmtId="1" showAll="0"/>
    <pivotField showAll="0"/>
  </pivotFields>
  <rowFields count="1">
    <field x="11"/>
  </rowFields>
  <rowItems count="3">
    <i>
      <x/>
    </i>
    <i>
      <x v="1"/>
    </i>
    <i t="grand">
      <x/>
    </i>
  </rowItems>
  <colItems count="1">
    <i/>
  </colItems>
  <dataFields count="1">
    <dataField name="Sum of Number of Passengers" fld="10" baseField="0" baseItem="0"/>
  </dataFields>
  <formats count="2">
    <format dxfId="0">
      <pivotArea outline="0" collapsedLevelsAreSubtotals="1" fieldPosition="0"/>
    </format>
    <format dxfId="1">
      <pivotArea dataOnly="0" labelOnly="1" outline="0" axis="axisValues"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55FAE0-7808-4002-A6B5-4D81B60226B5}" name="PivotTable7"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Route">
  <location ref="A78:B90" firstHeaderRow="1" firstDataRow="1" firstDataCol="1"/>
  <pivotFields count="26">
    <pivotField numFmtId="166" showAll="0"/>
    <pivotField showAll="0">
      <items count="8">
        <item x="5"/>
        <item x="0"/>
        <item x="6"/>
        <item x="1"/>
        <item x="2"/>
        <item x="3"/>
        <item x="4"/>
        <item t="default"/>
      </items>
    </pivotField>
    <pivotField showAll="0"/>
    <pivotField showAll="0"/>
    <pivotField showAll="0"/>
    <pivotField axis="axisRow" showAll="0" measureFilter="1" sortType="ascending">
      <items count="48">
        <item x="18"/>
        <item x="4"/>
        <item x="16"/>
        <item x="35"/>
        <item x="36"/>
        <item x="7"/>
        <item x="38"/>
        <item x="40"/>
        <item x="3"/>
        <item x="22"/>
        <item x="14"/>
        <item x="0"/>
        <item x="26"/>
        <item x="45"/>
        <item x="11"/>
        <item x="13"/>
        <item x="46"/>
        <item x="23"/>
        <item x="17"/>
        <item x="30"/>
        <item x="41"/>
        <item x="43"/>
        <item x="28"/>
        <item x="44"/>
        <item x="37"/>
        <item x="1"/>
        <item x="29"/>
        <item x="2"/>
        <item x="32"/>
        <item x="24"/>
        <item x="42"/>
        <item x="34"/>
        <item x="20"/>
        <item x="15"/>
        <item x="5"/>
        <item x="12"/>
        <item x="19"/>
        <item x="31"/>
        <item x="6"/>
        <item x="27"/>
        <item x="33"/>
        <item x="25"/>
        <item x="9"/>
        <item x="21"/>
        <item x="8"/>
        <item x="39"/>
        <item x="1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showAll="0"/>
    <pivotField showAll="0"/>
    <pivotField showAll="0"/>
    <pivotField numFmtId="165" showAll="0"/>
    <pivotField showAll="0"/>
    <pivotField showAll="0"/>
    <pivotField showAll="0"/>
    <pivotField numFmtId="165" showAll="0"/>
    <pivotField showAll="0"/>
    <pivotField showAll="0"/>
    <pivotField numFmtId="165" showAll="0"/>
    <pivotField numFmtId="165" showAll="0"/>
    <pivotField numFmtId="165" showAll="0"/>
    <pivotField dataField="1" numFmtId="165" showAll="0"/>
    <pivotField numFmtId="165" showAll="0"/>
    <pivotField numFmtId="1" showAll="0"/>
    <pivotField showAll="0"/>
  </pivotFields>
  <rowFields count="1">
    <field x="5"/>
  </rowFields>
  <rowItems count="12">
    <i>
      <x v="12"/>
    </i>
    <i>
      <x v="17"/>
    </i>
    <i>
      <x v="7"/>
    </i>
    <i>
      <x/>
    </i>
    <i>
      <x v="43"/>
    </i>
    <i>
      <x v="24"/>
    </i>
    <i>
      <x v="8"/>
    </i>
    <i>
      <x v="38"/>
    </i>
    <i>
      <x v="18"/>
    </i>
    <i>
      <x v="39"/>
    </i>
    <i>
      <x v="46"/>
    </i>
    <i t="grand">
      <x/>
    </i>
  </rowItems>
  <colItems count="1">
    <i/>
  </colItems>
  <dataFields count="1">
    <dataField name="Sum of Drivers allowance " fld="22" baseField="6" baseItem="0" numFmtId="43"/>
  </dataFields>
  <formats count="2">
    <format dxfId="2">
      <pivotArea outline="0" collapsedLevelsAreSubtotals="1" fieldPosition="0"/>
    </format>
    <format dxfId="3">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5A49C1-B031-4FA7-B2F0-6F73481D9906}" name="PivotTable5"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oute">
  <location ref="A63:B74" firstHeaderRow="1" firstDataRow="1" firstDataCol="1"/>
  <pivotFields count="26">
    <pivotField numFmtId="166" showAll="0"/>
    <pivotField showAll="0">
      <items count="8">
        <item x="5"/>
        <item x="0"/>
        <item x="6"/>
        <item x="1"/>
        <item x="2"/>
        <item x="3"/>
        <item x="4"/>
        <item t="default"/>
      </items>
    </pivotField>
    <pivotField showAll="0"/>
    <pivotField showAll="0"/>
    <pivotField showAll="0"/>
    <pivotField axis="axisRow" showAll="0" measureFilter="1" sortType="ascending">
      <items count="48">
        <item x="18"/>
        <item x="4"/>
        <item x="16"/>
        <item x="35"/>
        <item x="36"/>
        <item x="7"/>
        <item x="38"/>
        <item x="40"/>
        <item x="3"/>
        <item x="22"/>
        <item x="14"/>
        <item x="0"/>
        <item x="26"/>
        <item x="45"/>
        <item x="11"/>
        <item x="13"/>
        <item x="46"/>
        <item x="23"/>
        <item x="17"/>
        <item x="30"/>
        <item x="41"/>
        <item x="43"/>
        <item x="28"/>
        <item x="44"/>
        <item x="37"/>
        <item x="1"/>
        <item x="29"/>
        <item x="2"/>
        <item x="32"/>
        <item x="24"/>
        <item x="42"/>
        <item x="34"/>
        <item x="20"/>
        <item x="15"/>
        <item x="5"/>
        <item x="12"/>
        <item x="19"/>
        <item x="31"/>
        <item x="6"/>
        <item x="27"/>
        <item x="33"/>
        <item x="25"/>
        <item x="9"/>
        <item x="21"/>
        <item x="8"/>
        <item x="39"/>
        <item x="1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showAll="0"/>
    <pivotField showAll="0"/>
    <pivotField showAll="0"/>
    <pivotField numFmtId="165" showAll="0"/>
    <pivotField showAll="0"/>
    <pivotField showAll="0"/>
    <pivotField dataField="1" showAll="0"/>
    <pivotField numFmtId="165" showAll="0"/>
    <pivotField showAll="0"/>
    <pivotField showAll="0"/>
    <pivotField numFmtId="165" showAll="0"/>
    <pivotField numFmtId="165" showAll="0"/>
    <pivotField numFmtId="165" showAll="0"/>
    <pivotField numFmtId="165" showAll="0"/>
    <pivotField numFmtId="165" showAll="0"/>
    <pivotField numFmtId="1" showAll="0"/>
    <pivotField showAll="0"/>
  </pivotFields>
  <rowFields count="1">
    <field x="5"/>
  </rowFields>
  <rowItems count="11">
    <i>
      <x v="33"/>
    </i>
    <i>
      <x v="8"/>
    </i>
    <i>
      <x v="17"/>
    </i>
    <i>
      <x v="43"/>
    </i>
    <i>
      <x v="18"/>
    </i>
    <i>
      <x v="19"/>
    </i>
    <i>
      <x v="39"/>
    </i>
    <i>
      <x v="24"/>
    </i>
    <i>
      <x v="38"/>
    </i>
    <i>
      <x v="46"/>
    </i>
    <i t="grand">
      <x/>
    </i>
  </rowItems>
  <colItems count="1">
    <i/>
  </colItems>
  <dataFields count="1">
    <dataField name="Sum of Fuel Consumption (Liters)" fld="1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3E072A-4C3A-439A-A166-D25EA07D9178}" name="PivotTable3"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oute">
  <location ref="A47:B58" firstHeaderRow="1" firstDataRow="1" firstDataCol="1"/>
  <pivotFields count="26">
    <pivotField numFmtId="166" showAll="0"/>
    <pivotField showAll="0">
      <items count="8">
        <item x="5"/>
        <item x="0"/>
        <item x="6"/>
        <item x="1"/>
        <item x="2"/>
        <item x="3"/>
        <item x="4"/>
        <item t="default"/>
      </items>
    </pivotField>
    <pivotField showAll="0"/>
    <pivotField showAll="0"/>
    <pivotField showAll="0"/>
    <pivotField axis="axisRow" showAll="0" measureFilter="1" sortType="descending">
      <items count="48">
        <item x="10"/>
        <item x="39"/>
        <item x="8"/>
        <item x="21"/>
        <item x="9"/>
        <item x="25"/>
        <item x="33"/>
        <item x="27"/>
        <item x="6"/>
        <item x="31"/>
        <item x="19"/>
        <item x="12"/>
        <item x="5"/>
        <item x="15"/>
        <item x="20"/>
        <item x="34"/>
        <item x="42"/>
        <item x="24"/>
        <item x="32"/>
        <item x="2"/>
        <item x="29"/>
        <item x="1"/>
        <item x="37"/>
        <item x="44"/>
        <item x="28"/>
        <item x="43"/>
        <item x="41"/>
        <item x="30"/>
        <item x="17"/>
        <item x="23"/>
        <item x="46"/>
        <item x="13"/>
        <item x="11"/>
        <item x="45"/>
        <item x="26"/>
        <item x="0"/>
        <item x="14"/>
        <item x="22"/>
        <item x="3"/>
        <item x="40"/>
        <item x="38"/>
        <item x="7"/>
        <item x="36"/>
        <item x="35"/>
        <item x="16"/>
        <item x="4"/>
        <item x="18"/>
        <item t="default"/>
      </items>
    </pivotField>
    <pivotField numFmtId="164" showAll="0"/>
    <pivotField numFmtId="164" showAll="0"/>
    <pivotField numFmtId="164" showAll="0"/>
    <pivotField showAll="0"/>
    <pivotField dataField="1" showAll="0"/>
    <pivotField showAll="0"/>
    <pivotField numFmtId="165" showAll="0"/>
    <pivotField showAll="0"/>
    <pivotField showAll="0"/>
    <pivotField showAll="0"/>
    <pivotField numFmtId="165" showAll="0"/>
    <pivotField showAll="0"/>
    <pivotField showAll="0"/>
    <pivotField numFmtId="165" showAll="0"/>
    <pivotField numFmtId="165" showAll="0"/>
    <pivotField numFmtId="165" showAll="0"/>
    <pivotField numFmtId="165" showAll="0"/>
    <pivotField numFmtId="165" showAll="0"/>
    <pivotField numFmtId="1" showAll="0"/>
    <pivotField showAll="0"/>
  </pivotFields>
  <rowFields count="1">
    <field x="5"/>
  </rowFields>
  <rowItems count="11">
    <i>
      <x/>
    </i>
    <i>
      <x v="3"/>
    </i>
    <i>
      <x v="7"/>
    </i>
    <i>
      <x v="8"/>
    </i>
    <i>
      <x v="28"/>
    </i>
    <i>
      <x v="29"/>
    </i>
    <i>
      <x v="34"/>
    </i>
    <i>
      <x v="38"/>
    </i>
    <i>
      <x v="39"/>
    </i>
    <i>
      <x v="46"/>
    </i>
    <i t="grand">
      <x/>
    </i>
  </rowItems>
  <colItems count="1">
    <i/>
  </colItems>
  <dataFields count="1">
    <dataField name="Sum of Number of Passengers" fld="10" baseField="2"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764060-A478-4EA9-BCC9-2CED4C90E9E5}" name="PivotTable1"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weekdays">
  <location ref="A3:B11" firstHeaderRow="1" firstDataRow="1" firstDataCol="1"/>
  <pivotFields count="26">
    <pivotField numFmtId="166" showAll="0"/>
    <pivotField axis="axisRow" showAll="0">
      <items count="8">
        <item x="5"/>
        <item x="0"/>
        <item x="6"/>
        <item x="1"/>
        <item x="2"/>
        <item x="3"/>
        <item x="4"/>
        <item t="default"/>
      </items>
    </pivotField>
    <pivotField showAll="0"/>
    <pivotField showAll="0"/>
    <pivotField showAll="0"/>
    <pivotField showAll="0"/>
    <pivotField numFmtId="164" showAll="0"/>
    <pivotField numFmtId="164" showAll="0"/>
    <pivotField numFmtId="164" showAll="0"/>
    <pivotField showAll="0"/>
    <pivotField dataField="1" showAll="0"/>
    <pivotField showAll="0"/>
    <pivotField numFmtId="165" showAll="0"/>
    <pivotField showAll="0"/>
    <pivotField showAll="0"/>
    <pivotField showAll="0"/>
    <pivotField numFmtId="165" showAll="0"/>
    <pivotField showAll="0"/>
    <pivotField showAll="0"/>
    <pivotField numFmtId="165" showAll="0"/>
    <pivotField numFmtId="165" showAll="0"/>
    <pivotField numFmtId="165" showAll="0"/>
    <pivotField numFmtId="165" showAll="0"/>
    <pivotField numFmtId="165" showAll="0"/>
    <pivotField numFmtId="1" showAll="0"/>
    <pivotField showAll="0"/>
  </pivotFields>
  <rowFields count="1">
    <field x="1"/>
  </rowFields>
  <rowItems count="8">
    <i>
      <x/>
    </i>
    <i>
      <x v="1"/>
    </i>
    <i>
      <x v="2"/>
    </i>
    <i>
      <x v="3"/>
    </i>
    <i>
      <x v="4"/>
    </i>
    <i>
      <x v="5"/>
    </i>
    <i>
      <x v="6"/>
    </i>
    <i t="grand">
      <x/>
    </i>
  </rowItems>
  <colItems count="1">
    <i/>
  </colItems>
  <dataFields count="1">
    <dataField name="Sum of Number of Passengers" fld="10" baseField="2"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AAD70575-A352-48D3-AA52-B7FB537E35E7}" sourceName="Weekday">
  <pivotTables>
    <pivotTable tabId="2" name="PivotTable3"/>
    <pivotTable tabId="2" name="PivotTable1"/>
    <pivotTable tabId="2" name="PivotTable10"/>
    <pivotTable tabId="2" name="PivotTable12"/>
    <pivotTable tabId="2" name="PivotTable5"/>
    <pivotTable tabId="2" name="PivotTable7"/>
    <pivotTable tabId="2" name="PivotTable8"/>
    <pivotTable tabId="2" name="PivotTable20"/>
  </pivotTables>
  <data>
    <tabular pivotCacheId="549199731">
      <items count="7">
        <i x="5" s="1"/>
        <i x="0" s="1"/>
        <i x="6"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1" xr10:uid="{3AE8FF87-5BB4-4AEE-84D6-C9F4CB445D73}" cache="Slicer_Weekday" caption="Weekda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96C160DD-5F6C-478F-AF17-F56C6093A7F0}" cache="Slicer_Weekday" caption="Weekda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64DB8-F95E-4274-B850-F677D14279AD}">
  <dimension ref="A3:G159"/>
  <sheetViews>
    <sheetView topLeftCell="A26" workbookViewId="0">
      <selection activeCell="F48" sqref="F48"/>
    </sheetView>
  </sheetViews>
  <sheetFormatPr defaultRowHeight="14.25" x14ac:dyDescent="0.2"/>
  <cols>
    <col min="1" max="1" width="11.5" bestFit="1" customWidth="1"/>
    <col min="2" max="2" width="28.25" bestFit="1" customWidth="1"/>
    <col min="3" max="3" width="22.75" bestFit="1" customWidth="1"/>
    <col min="4" max="4" width="11.375" bestFit="1" customWidth="1"/>
    <col min="6" max="6" width="18" bestFit="1" customWidth="1"/>
    <col min="7" max="7" width="28.25" bestFit="1" customWidth="1"/>
  </cols>
  <sheetData>
    <row r="3" spans="1:2" x14ac:dyDescent="0.2">
      <c r="A3" s="13" t="s">
        <v>124</v>
      </c>
      <c r="B3" t="s">
        <v>123</v>
      </c>
    </row>
    <row r="4" spans="1:2" x14ac:dyDescent="0.2">
      <c r="A4" s="14" t="s">
        <v>115</v>
      </c>
      <c r="B4" s="15">
        <v>311</v>
      </c>
    </row>
    <row r="5" spans="1:2" x14ac:dyDescent="0.2">
      <c r="A5" s="14" t="s">
        <v>116</v>
      </c>
      <c r="B5" s="15">
        <v>319</v>
      </c>
    </row>
    <row r="6" spans="1:2" x14ac:dyDescent="0.2">
      <c r="A6" s="14" t="s">
        <v>117</v>
      </c>
      <c r="B6" s="15">
        <v>331</v>
      </c>
    </row>
    <row r="7" spans="1:2" x14ac:dyDescent="0.2">
      <c r="A7" s="14" t="s">
        <v>118</v>
      </c>
      <c r="B7" s="15">
        <v>404</v>
      </c>
    </row>
    <row r="8" spans="1:2" x14ac:dyDescent="0.2">
      <c r="A8" s="14" t="s">
        <v>119</v>
      </c>
      <c r="B8" s="15">
        <v>303</v>
      </c>
    </row>
    <row r="9" spans="1:2" x14ac:dyDescent="0.2">
      <c r="A9" s="14" t="s">
        <v>120</v>
      </c>
      <c r="B9" s="15">
        <v>322</v>
      </c>
    </row>
    <row r="10" spans="1:2" x14ac:dyDescent="0.2">
      <c r="A10" s="14" t="s">
        <v>121</v>
      </c>
      <c r="B10" s="15">
        <v>359</v>
      </c>
    </row>
    <row r="11" spans="1:2" x14ac:dyDescent="0.2">
      <c r="A11" s="14" t="s">
        <v>122</v>
      </c>
      <c r="B11" s="15">
        <v>2349</v>
      </c>
    </row>
    <row r="12" spans="1:2" x14ac:dyDescent="0.2">
      <c r="A12" s="14"/>
      <c r="B12" s="15"/>
    </row>
    <row r="13" spans="1:2" x14ac:dyDescent="0.2">
      <c r="A13" s="14"/>
      <c r="B13" s="15"/>
    </row>
    <row r="14" spans="1:2" x14ac:dyDescent="0.2">
      <c r="A14" s="14"/>
      <c r="B14" s="15"/>
    </row>
    <row r="15" spans="1:2" x14ac:dyDescent="0.2">
      <c r="A15" s="14"/>
      <c r="B15" s="15"/>
    </row>
    <row r="16" spans="1:2" x14ac:dyDescent="0.2">
      <c r="A16" s="14"/>
      <c r="B16" s="15"/>
    </row>
    <row r="17" spans="1:2" x14ac:dyDescent="0.2">
      <c r="A17" s="14"/>
      <c r="B17" s="15"/>
    </row>
    <row r="18" spans="1:2" x14ac:dyDescent="0.2">
      <c r="A18" s="14"/>
      <c r="B18" s="15"/>
    </row>
    <row r="19" spans="1:2" x14ac:dyDescent="0.2">
      <c r="A19" s="14"/>
      <c r="B19" s="15"/>
    </row>
    <row r="20" spans="1:2" x14ac:dyDescent="0.2">
      <c r="A20" s="14"/>
      <c r="B20" s="15"/>
    </row>
    <row r="21" spans="1:2" x14ac:dyDescent="0.2">
      <c r="A21" s="14"/>
      <c r="B21" s="15"/>
    </row>
    <row r="22" spans="1:2" x14ac:dyDescent="0.2">
      <c r="A22" s="14"/>
      <c r="B22" s="15"/>
    </row>
    <row r="23" spans="1:2" x14ac:dyDescent="0.2">
      <c r="A23" s="14"/>
      <c r="B23" s="15"/>
    </row>
    <row r="24" spans="1:2" x14ac:dyDescent="0.2">
      <c r="A24" s="14"/>
      <c r="B24" s="15"/>
    </row>
    <row r="25" spans="1:2" x14ac:dyDescent="0.2">
      <c r="A25" s="14"/>
      <c r="B25" s="15"/>
    </row>
    <row r="26" spans="1:2" x14ac:dyDescent="0.2">
      <c r="A26" s="14"/>
      <c r="B26" s="15"/>
    </row>
    <row r="27" spans="1:2" x14ac:dyDescent="0.2">
      <c r="A27" s="14"/>
      <c r="B27" s="15"/>
    </row>
    <row r="28" spans="1:2" x14ac:dyDescent="0.2">
      <c r="A28" s="14"/>
      <c r="B28" s="15"/>
    </row>
    <row r="29" spans="1:2" x14ac:dyDescent="0.2">
      <c r="A29" s="14"/>
      <c r="B29" s="15"/>
    </row>
    <row r="30" spans="1:2" x14ac:dyDescent="0.2">
      <c r="A30" s="14"/>
      <c r="B30" s="15"/>
    </row>
    <row r="31" spans="1:2" x14ac:dyDescent="0.2">
      <c r="A31" s="14"/>
      <c r="B31" s="15"/>
    </row>
    <row r="32" spans="1:2" x14ac:dyDescent="0.2">
      <c r="A32" s="14"/>
      <c r="B32" s="15"/>
    </row>
    <row r="33" spans="1:7" x14ac:dyDescent="0.2">
      <c r="A33" s="14"/>
      <c r="B33" s="15"/>
    </row>
    <row r="34" spans="1:7" x14ac:dyDescent="0.2">
      <c r="A34" s="14"/>
      <c r="B34" s="15"/>
    </row>
    <row r="35" spans="1:7" x14ac:dyDescent="0.2">
      <c r="A35" s="14"/>
      <c r="B35" s="15"/>
    </row>
    <row r="36" spans="1:7" x14ac:dyDescent="0.2">
      <c r="A36" s="14"/>
      <c r="B36" s="15"/>
    </row>
    <row r="37" spans="1:7" x14ac:dyDescent="0.2">
      <c r="A37" s="14"/>
      <c r="B37" s="15"/>
    </row>
    <row r="38" spans="1:7" x14ac:dyDescent="0.2">
      <c r="A38" s="14"/>
      <c r="B38" s="15"/>
    </row>
    <row r="39" spans="1:7" x14ac:dyDescent="0.2">
      <c r="A39" s="14"/>
      <c r="B39" s="15"/>
    </row>
    <row r="40" spans="1:7" x14ac:dyDescent="0.2">
      <c r="B40" s="14"/>
    </row>
    <row r="41" spans="1:7" x14ac:dyDescent="0.2">
      <c r="B41" s="14"/>
    </row>
    <row r="42" spans="1:7" x14ac:dyDescent="0.2">
      <c r="B42" s="14"/>
    </row>
    <row r="43" spans="1:7" x14ac:dyDescent="0.2">
      <c r="A43" s="14"/>
      <c r="B43" s="15"/>
    </row>
    <row r="44" spans="1:7" x14ac:dyDescent="0.2">
      <c r="A44" s="14"/>
      <c r="B44" s="15"/>
    </row>
    <row r="45" spans="1:7" x14ac:dyDescent="0.2">
      <c r="A45" s="14"/>
      <c r="B45" s="15"/>
    </row>
    <row r="47" spans="1:7" x14ac:dyDescent="0.2">
      <c r="A47" s="13" t="s">
        <v>5</v>
      </c>
      <c r="B47" t="s">
        <v>123</v>
      </c>
      <c r="F47" s="13" t="s">
        <v>130</v>
      </c>
      <c r="G47" t="s">
        <v>123</v>
      </c>
    </row>
    <row r="48" spans="1:7" x14ac:dyDescent="0.2">
      <c r="A48" s="14" t="s">
        <v>70</v>
      </c>
      <c r="B48" s="15">
        <v>144</v>
      </c>
      <c r="F48" s="14" t="s">
        <v>108</v>
      </c>
      <c r="G48" s="15">
        <v>74</v>
      </c>
    </row>
    <row r="49" spans="1:7" x14ac:dyDescent="0.2">
      <c r="A49" s="14" t="s">
        <v>88</v>
      </c>
      <c r="B49" s="15">
        <v>80</v>
      </c>
      <c r="F49" s="14" t="s">
        <v>93</v>
      </c>
      <c r="G49" s="15">
        <v>76</v>
      </c>
    </row>
    <row r="50" spans="1:7" x14ac:dyDescent="0.2">
      <c r="A50" s="14" t="s">
        <v>95</v>
      </c>
      <c r="B50" s="15">
        <v>94</v>
      </c>
      <c r="F50" s="14" t="s">
        <v>90</v>
      </c>
      <c r="G50" s="15">
        <v>77</v>
      </c>
    </row>
    <row r="51" spans="1:7" x14ac:dyDescent="0.2">
      <c r="A51" s="14" t="s">
        <v>58</v>
      </c>
      <c r="B51" s="15">
        <v>79</v>
      </c>
      <c r="F51" s="14" t="s">
        <v>58</v>
      </c>
      <c r="G51" s="15">
        <v>79</v>
      </c>
    </row>
    <row r="52" spans="1:7" x14ac:dyDescent="0.2">
      <c r="A52" s="14" t="s">
        <v>81</v>
      </c>
      <c r="B52" s="15">
        <v>95</v>
      </c>
      <c r="F52" s="14" t="s">
        <v>88</v>
      </c>
      <c r="G52" s="15">
        <v>80</v>
      </c>
    </row>
    <row r="53" spans="1:7" x14ac:dyDescent="0.2">
      <c r="A53" s="14" t="s">
        <v>90</v>
      </c>
      <c r="B53" s="15">
        <v>77</v>
      </c>
      <c r="C53" s="15"/>
      <c r="F53" s="14" t="s">
        <v>83</v>
      </c>
      <c r="G53" s="15">
        <v>81</v>
      </c>
    </row>
    <row r="54" spans="1:7" x14ac:dyDescent="0.2">
      <c r="A54" s="14" t="s">
        <v>93</v>
      </c>
      <c r="B54" s="15">
        <v>76</v>
      </c>
      <c r="C54" s="15"/>
      <c r="F54" s="14" t="s">
        <v>47</v>
      </c>
      <c r="G54" s="15">
        <v>82</v>
      </c>
    </row>
    <row r="55" spans="1:7" x14ac:dyDescent="0.2">
      <c r="A55" s="14" t="s">
        <v>47</v>
      </c>
      <c r="B55" s="15">
        <v>82</v>
      </c>
      <c r="C55" s="15"/>
      <c r="F55" s="14" t="s">
        <v>95</v>
      </c>
      <c r="G55" s="15">
        <v>94</v>
      </c>
    </row>
    <row r="56" spans="1:7" x14ac:dyDescent="0.2">
      <c r="A56" s="14" t="s">
        <v>108</v>
      </c>
      <c r="B56" s="15">
        <v>74</v>
      </c>
      <c r="C56" s="15"/>
      <c r="F56" s="14" t="s">
        <v>81</v>
      </c>
      <c r="G56" s="15">
        <v>95</v>
      </c>
    </row>
    <row r="57" spans="1:7" x14ac:dyDescent="0.2">
      <c r="A57" s="14" t="s">
        <v>83</v>
      </c>
      <c r="B57" s="15">
        <v>81</v>
      </c>
      <c r="C57" s="15"/>
      <c r="F57" s="14" t="s">
        <v>70</v>
      </c>
      <c r="G57" s="15">
        <v>144</v>
      </c>
    </row>
    <row r="58" spans="1:7" x14ac:dyDescent="0.2">
      <c r="A58" s="14" t="s">
        <v>122</v>
      </c>
      <c r="B58" s="15">
        <v>882</v>
      </c>
      <c r="C58" s="15"/>
      <c r="F58" s="14" t="s">
        <v>122</v>
      </c>
      <c r="G58" s="15">
        <v>882</v>
      </c>
    </row>
    <row r="59" spans="1:7" x14ac:dyDescent="0.2">
      <c r="A59" s="14"/>
      <c r="B59" s="15"/>
      <c r="C59" s="15"/>
      <c r="F59" s="14"/>
      <c r="G59" s="15"/>
    </row>
    <row r="60" spans="1:7" x14ac:dyDescent="0.2">
      <c r="A60" s="14"/>
      <c r="B60" s="15"/>
      <c r="C60" s="15"/>
      <c r="F60" s="14"/>
      <c r="G60" s="15"/>
    </row>
    <row r="61" spans="1:7" x14ac:dyDescent="0.2">
      <c r="A61" s="14"/>
      <c r="B61" s="15"/>
      <c r="C61" s="15"/>
      <c r="F61" s="14"/>
      <c r="G61" s="15"/>
    </row>
    <row r="62" spans="1:7" x14ac:dyDescent="0.2">
      <c r="B62" s="14"/>
      <c r="C62" s="15"/>
    </row>
    <row r="63" spans="1:7" x14ac:dyDescent="0.2">
      <c r="A63" s="13" t="s">
        <v>5</v>
      </c>
      <c r="B63" t="s">
        <v>125</v>
      </c>
      <c r="C63" s="15"/>
    </row>
    <row r="64" spans="1:7" x14ac:dyDescent="0.2">
      <c r="A64" s="14" t="s">
        <v>78</v>
      </c>
      <c r="B64" s="15">
        <v>444.99</v>
      </c>
      <c r="C64" s="15"/>
    </row>
    <row r="65" spans="1:3" x14ac:dyDescent="0.2">
      <c r="A65" s="14" t="s">
        <v>47</v>
      </c>
      <c r="B65" s="15">
        <v>448.01000000000005</v>
      </c>
      <c r="C65" s="15"/>
    </row>
    <row r="66" spans="1:3" x14ac:dyDescent="0.2">
      <c r="A66" s="14" t="s">
        <v>90</v>
      </c>
      <c r="B66" s="15">
        <v>483.35</v>
      </c>
      <c r="C66" s="15"/>
    </row>
    <row r="67" spans="1:3" x14ac:dyDescent="0.2">
      <c r="A67" s="14" t="s">
        <v>88</v>
      </c>
      <c r="B67" s="15">
        <v>488.32</v>
      </c>
    </row>
    <row r="68" spans="1:3" x14ac:dyDescent="0.2">
      <c r="A68" s="14" t="s">
        <v>81</v>
      </c>
      <c r="B68" s="15">
        <v>512.85</v>
      </c>
    </row>
    <row r="69" spans="1:3" x14ac:dyDescent="0.2">
      <c r="A69" s="14" t="s">
        <v>98</v>
      </c>
      <c r="B69" s="15">
        <v>525.99</v>
      </c>
    </row>
    <row r="70" spans="1:3" x14ac:dyDescent="0.2">
      <c r="A70" s="14" t="s">
        <v>95</v>
      </c>
      <c r="B70" s="15">
        <v>549</v>
      </c>
    </row>
    <row r="71" spans="1:3" x14ac:dyDescent="0.2">
      <c r="A71" s="14" t="s">
        <v>105</v>
      </c>
      <c r="B71" s="15">
        <v>660</v>
      </c>
    </row>
    <row r="72" spans="1:3" x14ac:dyDescent="0.2">
      <c r="A72" s="14" t="s">
        <v>58</v>
      </c>
      <c r="B72" s="15">
        <v>675.67999999999984</v>
      </c>
    </row>
    <row r="73" spans="1:3" x14ac:dyDescent="0.2">
      <c r="A73" s="14" t="s">
        <v>70</v>
      </c>
      <c r="B73" s="15">
        <v>922.5</v>
      </c>
    </row>
    <row r="74" spans="1:3" x14ac:dyDescent="0.2">
      <c r="A74" s="14" t="s">
        <v>122</v>
      </c>
      <c r="B74" s="15">
        <v>5710.6899999999987</v>
      </c>
    </row>
    <row r="75" spans="1:3" x14ac:dyDescent="0.2">
      <c r="A75" s="14"/>
      <c r="B75" s="15"/>
    </row>
    <row r="76" spans="1:3" x14ac:dyDescent="0.2">
      <c r="A76" s="14"/>
      <c r="B76" s="15"/>
    </row>
    <row r="78" spans="1:3" x14ac:dyDescent="0.2">
      <c r="A78" s="13" t="s">
        <v>5</v>
      </c>
      <c r="B78" s="16" t="s">
        <v>126</v>
      </c>
    </row>
    <row r="79" spans="1:3" x14ac:dyDescent="0.2">
      <c r="A79" s="14" t="s">
        <v>93</v>
      </c>
      <c r="B79" s="16">
        <v>15000</v>
      </c>
    </row>
    <row r="80" spans="1:3" x14ac:dyDescent="0.2">
      <c r="A80" s="14" t="s">
        <v>90</v>
      </c>
      <c r="B80" s="16">
        <v>15000</v>
      </c>
    </row>
    <row r="81" spans="1:2" x14ac:dyDescent="0.2">
      <c r="A81" s="14" t="s">
        <v>108</v>
      </c>
      <c r="B81" s="16">
        <v>15000</v>
      </c>
    </row>
    <row r="82" spans="1:2" x14ac:dyDescent="0.2">
      <c r="A82" s="14" t="s">
        <v>83</v>
      </c>
      <c r="B82" s="16">
        <v>15000</v>
      </c>
    </row>
    <row r="83" spans="1:2" x14ac:dyDescent="0.2">
      <c r="A83" s="14" t="s">
        <v>88</v>
      </c>
      <c r="B83" s="16">
        <v>15000</v>
      </c>
    </row>
    <row r="84" spans="1:2" x14ac:dyDescent="0.2">
      <c r="A84" s="14" t="s">
        <v>105</v>
      </c>
      <c r="B84" s="16">
        <v>15000</v>
      </c>
    </row>
    <row r="85" spans="1:2" x14ac:dyDescent="0.2">
      <c r="A85" s="14" t="s">
        <v>47</v>
      </c>
      <c r="B85" s="16">
        <v>15000</v>
      </c>
    </row>
    <row r="86" spans="1:2" x14ac:dyDescent="0.2">
      <c r="A86" s="14" t="s">
        <v>58</v>
      </c>
      <c r="B86" s="16">
        <v>15000</v>
      </c>
    </row>
    <row r="87" spans="1:2" x14ac:dyDescent="0.2">
      <c r="A87" s="14" t="s">
        <v>81</v>
      </c>
      <c r="B87" s="16">
        <v>18000</v>
      </c>
    </row>
    <row r="88" spans="1:2" x14ac:dyDescent="0.2">
      <c r="A88" s="14" t="s">
        <v>95</v>
      </c>
      <c r="B88" s="16">
        <v>18000</v>
      </c>
    </row>
    <row r="89" spans="1:2" x14ac:dyDescent="0.2">
      <c r="A89" s="14" t="s">
        <v>70</v>
      </c>
      <c r="B89" s="16">
        <v>27000</v>
      </c>
    </row>
    <row r="90" spans="1:2" x14ac:dyDescent="0.2">
      <c r="A90" s="14" t="s">
        <v>122</v>
      </c>
      <c r="B90" s="16">
        <v>183000</v>
      </c>
    </row>
    <row r="91" spans="1:2" x14ac:dyDescent="0.2">
      <c r="A91" s="14"/>
      <c r="B91" s="16"/>
    </row>
    <row r="92" spans="1:2" x14ac:dyDescent="0.2">
      <c r="A92" s="14"/>
      <c r="B92" s="16"/>
    </row>
    <row r="94" spans="1:2" x14ac:dyDescent="0.2">
      <c r="A94" s="13" t="s">
        <v>5</v>
      </c>
      <c r="B94" s="16" t="s">
        <v>123</v>
      </c>
    </row>
    <row r="95" spans="1:2" x14ac:dyDescent="0.2">
      <c r="A95" s="14" t="s">
        <v>42</v>
      </c>
      <c r="B95" s="16">
        <v>1094</v>
      </c>
    </row>
    <row r="96" spans="1:2" x14ac:dyDescent="0.2">
      <c r="A96" s="14" t="s">
        <v>29</v>
      </c>
      <c r="B96" s="16">
        <v>1255</v>
      </c>
    </row>
    <row r="97" spans="1:2" x14ac:dyDescent="0.2">
      <c r="A97" s="14" t="s">
        <v>122</v>
      </c>
      <c r="B97" s="16">
        <v>2349</v>
      </c>
    </row>
    <row r="98" spans="1:2" x14ac:dyDescent="0.2">
      <c r="A98" s="14"/>
      <c r="B98" s="16"/>
    </row>
    <row r="99" spans="1:2" x14ac:dyDescent="0.2">
      <c r="A99" s="14"/>
      <c r="B99" s="16"/>
    </row>
    <row r="101" spans="1:2" x14ac:dyDescent="0.2">
      <c r="A101" s="13" t="s">
        <v>128</v>
      </c>
      <c r="B101" s="16" t="s">
        <v>127</v>
      </c>
    </row>
    <row r="102" spans="1:2" x14ac:dyDescent="0.2">
      <c r="A102" s="14" t="s">
        <v>44</v>
      </c>
      <c r="B102" s="16">
        <v>29</v>
      </c>
    </row>
    <row r="103" spans="1:2" x14ac:dyDescent="0.2">
      <c r="A103" s="14" t="s">
        <v>60</v>
      </c>
      <c r="B103" s="16">
        <v>46</v>
      </c>
    </row>
    <row r="104" spans="1:2" x14ac:dyDescent="0.2">
      <c r="A104" s="14" t="s">
        <v>51</v>
      </c>
      <c r="B104" s="16">
        <v>108</v>
      </c>
    </row>
    <row r="105" spans="1:2" x14ac:dyDescent="0.2">
      <c r="A105" s="14" t="s">
        <v>32</v>
      </c>
      <c r="B105" s="16">
        <v>112</v>
      </c>
    </row>
    <row r="106" spans="1:2" x14ac:dyDescent="0.2">
      <c r="A106" s="14" t="s">
        <v>48</v>
      </c>
      <c r="B106" s="16">
        <v>170</v>
      </c>
    </row>
    <row r="107" spans="1:2" x14ac:dyDescent="0.2">
      <c r="A107" s="14" t="s">
        <v>122</v>
      </c>
      <c r="B107" s="16">
        <v>465</v>
      </c>
    </row>
    <row r="108" spans="1:2" x14ac:dyDescent="0.2">
      <c r="A108" s="14"/>
      <c r="B108" s="16"/>
    </row>
    <row r="109" spans="1:2" x14ac:dyDescent="0.2">
      <c r="A109" s="14"/>
      <c r="B109" s="16"/>
    </row>
    <row r="111" spans="1:2" x14ac:dyDescent="0.2">
      <c r="A111" s="13" t="s">
        <v>128</v>
      </c>
      <c r="B111" s="16" t="s">
        <v>129</v>
      </c>
    </row>
    <row r="112" spans="1:2" x14ac:dyDescent="0.2">
      <c r="A112" s="14">
        <v>19</v>
      </c>
      <c r="B112" s="16">
        <v>260</v>
      </c>
    </row>
    <row r="113" spans="1:2" x14ac:dyDescent="0.2">
      <c r="A113" s="14">
        <v>21.67</v>
      </c>
      <c r="B113" s="16">
        <v>1020</v>
      </c>
    </row>
    <row r="114" spans="1:2" x14ac:dyDescent="0.2">
      <c r="A114" s="14">
        <v>29</v>
      </c>
      <c r="B114" s="16">
        <v>230</v>
      </c>
    </row>
    <row r="115" spans="1:2" x14ac:dyDescent="0.2">
      <c r="A115" s="14">
        <v>30</v>
      </c>
      <c r="B115" s="16">
        <v>200</v>
      </c>
    </row>
    <row r="116" spans="1:2" x14ac:dyDescent="0.2">
      <c r="A116" s="14">
        <v>36</v>
      </c>
      <c r="B116" s="16">
        <v>600</v>
      </c>
    </row>
    <row r="117" spans="1:2" x14ac:dyDescent="0.2">
      <c r="A117" s="14">
        <v>38.33</v>
      </c>
      <c r="B117" s="16">
        <v>430</v>
      </c>
    </row>
    <row r="118" spans="1:2" x14ac:dyDescent="0.2">
      <c r="A118" s="14">
        <v>39</v>
      </c>
      <c r="B118" s="16">
        <v>540</v>
      </c>
    </row>
    <row r="119" spans="1:2" x14ac:dyDescent="0.2">
      <c r="A119" s="14">
        <v>45</v>
      </c>
      <c r="B119" s="16">
        <v>810</v>
      </c>
    </row>
    <row r="120" spans="1:2" x14ac:dyDescent="0.2">
      <c r="A120" s="14">
        <v>46</v>
      </c>
      <c r="B120" s="16">
        <v>1740</v>
      </c>
    </row>
    <row r="121" spans="1:2" x14ac:dyDescent="0.2">
      <c r="A121" s="14">
        <v>48.33</v>
      </c>
      <c r="B121" s="16">
        <v>1410</v>
      </c>
    </row>
    <row r="122" spans="1:2" x14ac:dyDescent="0.2">
      <c r="A122" s="14">
        <v>50</v>
      </c>
      <c r="B122" s="16">
        <v>900</v>
      </c>
    </row>
    <row r="123" spans="1:2" x14ac:dyDescent="0.2">
      <c r="A123" s="14">
        <v>51</v>
      </c>
      <c r="B123" s="16">
        <v>1210</v>
      </c>
    </row>
    <row r="124" spans="1:2" x14ac:dyDescent="0.2">
      <c r="A124" s="14">
        <v>53</v>
      </c>
      <c r="B124" s="16">
        <v>820</v>
      </c>
    </row>
    <row r="125" spans="1:2" x14ac:dyDescent="0.2">
      <c r="A125" s="14">
        <v>53.33</v>
      </c>
      <c r="B125" s="16">
        <v>870</v>
      </c>
    </row>
    <row r="126" spans="1:2" x14ac:dyDescent="0.2">
      <c r="A126" s="14">
        <v>54</v>
      </c>
      <c r="B126" s="16">
        <v>1270</v>
      </c>
    </row>
    <row r="127" spans="1:2" x14ac:dyDescent="0.2">
      <c r="A127" s="14">
        <v>57</v>
      </c>
      <c r="B127" s="16">
        <v>700</v>
      </c>
    </row>
    <row r="128" spans="1:2" x14ac:dyDescent="0.2">
      <c r="A128" s="14">
        <v>59</v>
      </c>
      <c r="B128" s="16">
        <v>900</v>
      </c>
    </row>
    <row r="129" spans="1:2" x14ac:dyDescent="0.2">
      <c r="A129" s="14">
        <v>60</v>
      </c>
      <c r="B129" s="16">
        <v>360</v>
      </c>
    </row>
    <row r="130" spans="1:2" x14ac:dyDescent="0.2">
      <c r="A130" s="14">
        <v>67</v>
      </c>
      <c r="B130" s="16">
        <v>1605</v>
      </c>
    </row>
    <row r="131" spans="1:2" x14ac:dyDescent="0.2">
      <c r="A131" s="14">
        <v>75</v>
      </c>
      <c r="B131" s="16">
        <v>2690</v>
      </c>
    </row>
    <row r="132" spans="1:2" x14ac:dyDescent="0.2">
      <c r="A132" s="14">
        <v>79</v>
      </c>
      <c r="B132" s="16">
        <v>1130</v>
      </c>
    </row>
    <row r="133" spans="1:2" x14ac:dyDescent="0.2">
      <c r="A133" s="14">
        <v>80</v>
      </c>
      <c r="B133" s="16">
        <v>560</v>
      </c>
    </row>
    <row r="134" spans="1:2" x14ac:dyDescent="0.2">
      <c r="A134" s="14">
        <v>83.33</v>
      </c>
      <c r="B134" s="16">
        <v>3270</v>
      </c>
    </row>
    <row r="135" spans="1:2" x14ac:dyDescent="0.2">
      <c r="A135" s="14">
        <v>84</v>
      </c>
      <c r="B135" s="16">
        <v>635</v>
      </c>
    </row>
    <row r="136" spans="1:2" x14ac:dyDescent="0.2">
      <c r="A136" s="14">
        <v>86</v>
      </c>
      <c r="B136" s="16">
        <v>4320</v>
      </c>
    </row>
    <row r="137" spans="1:2" x14ac:dyDescent="0.2">
      <c r="A137" s="14">
        <v>88.33</v>
      </c>
      <c r="B137" s="16">
        <v>1615</v>
      </c>
    </row>
    <row r="138" spans="1:2" x14ac:dyDescent="0.2">
      <c r="A138" s="14">
        <v>89.17</v>
      </c>
      <c r="B138" s="16">
        <v>3575</v>
      </c>
    </row>
    <row r="139" spans="1:2" x14ac:dyDescent="0.2">
      <c r="A139" s="14">
        <v>96</v>
      </c>
      <c r="B139" s="16">
        <v>2600</v>
      </c>
    </row>
    <row r="140" spans="1:2" x14ac:dyDescent="0.2">
      <c r="A140" s="14">
        <v>96.67</v>
      </c>
      <c r="B140" s="16">
        <v>6630</v>
      </c>
    </row>
    <row r="141" spans="1:2" x14ac:dyDescent="0.2">
      <c r="A141" s="14">
        <v>98.33</v>
      </c>
      <c r="B141" s="16">
        <v>1180</v>
      </c>
    </row>
    <row r="142" spans="1:2" x14ac:dyDescent="0.2">
      <c r="A142" s="14">
        <v>102.5</v>
      </c>
      <c r="B142" s="16">
        <v>6020</v>
      </c>
    </row>
    <row r="143" spans="1:2" x14ac:dyDescent="0.2">
      <c r="A143" s="14">
        <v>103.33</v>
      </c>
      <c r="B143" s="16">
        <v>2170</v>
      </c>
    </row>
    <row r="144" spans="1:2" x14ac:dyDescent="0.2">
      <c r="A144" s="14">
        <v>105.83</v>
      </c>
      <c r="B144" s="16">
        <v>1590</v>
      </c>
    </row>
    <row r="145" spans="1:2" x14ac:dyDescent="0.2">
      <c r="A145" s="14">
        <v>108.33</v>
      </c>
      <c r="B145" s="16">
        <v>2890</v>
      </c>
    </row>
    <row r="146" spans="1:2" x14ac:dyDescent="0.2">
      <c r="A146" s="14">
        <v>109</v>
      </c>
      <c r="B146" s="16">
        <v>2270</v>
      </c>
    </row>
    <row r="147" spans="1:2" x14ac:dyDescent="0.2">
      <c r="A147" s="14">
        <v>111</v>
      </c>
      <c r="B147" s="16">
        <v>650</v>
      </c>
    </row>
    <row r="148" spans="1:2" x14ac:dyDescent="0.2">
      <c r="A148" s="14">
        <v>112.5</v>
      </c>
      <c r="B148" s="16">
        <v>1430</v>
      </c>
    </row>
    <row r="149" spans="1:2" x14ac:dyDescent="0.2">
      <c r="A149" s="14">
        <v>114</v>
      </c>
      <c r="B149" s="16">
        <v>1490</v>
      </c>
    </row>
    <row r="150" spans="1:2" x14ac:dyDescent="0.2">
      <c r="A150" s="14">
        <v>115</v>
      </c>
      <c r="B150" s="16">
        <v>690</v>
      </c>
    </row>
    <row r="151" spans="1:2" x14ac:dyDescent="0.2">
      <c r="A151" s="14">
        <v>119</v>
      </c>
      <c r="B151" s="16">
        <v>980</v>
      </c>
    </row>
    <row r="152" spans="1:2" x14ac:dyDescent="0.2">
      <c r="A152" s="14">
        <v>121</v>
      </c>
      <c r="B152" s="16">
        <v>1540</v>
      </c>
    </row>
    <row r="153" spans="1:2" x14ac:dyDescent="0.2">
      <c r="A153" s="14">
        <v>125</v>
      </c>
      <c r="B153" s="16">
        <v>1350</v>
      </c>
    </row>
    <row r="154" spans="1:2" x14ac:dyDescent="0.2">
      <c r="A154" s="14">
        <v>139</v>
      </c>
      <c r="B154" s="16">
        <v>410</v>
      </c>
    </row>
    <row r="155" spans="1:2" x14ac:dyDescent="0.2">
      <c r="A155" s="14">
        <v>139.16999999999999</v>
      </c>
      <c r="B155" s="16">
        <v>2915</v>
      </c>
    </row>
    <row r="156" spans="1:2" x14ac:dyDescent="0.2">
      <c r="A156" s="14">
        <v>143.33000000000001</v>
      </c>
      <c r="B156" s="16">
        <v>1930</v>
      </c>
    </row>
    <row r="157" spans="1:2" x14ac:dyDescent="0.2">
      <c r="A157" s="14">
        <v>145</v>
      </c>
      <c r="B157" s="16">
        <v>2910</v>
      </c>
    </row>
    <row r="158" spans="1:2" x14ac:dyDescent="0.2">
      <c r="A158" s="14">
        <v>148.33000000000001</v>
      </c>
      <c r="B158" s="16">
        <v>3980</v>
      </c>
    </row>
    <row r="159" spans="1:2" x14ac:dyDescent="0.2">
      <c r="A159" s="14" t="s">
        <v>122</v>
      </c>
      <c r="B159" s="16">
        <v>79295</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4052-AC2A-4862-B1B3-3398BE731D86}">
  <sheetPr>
    <pageSetUpPr fitToPage="1"/>
  </sheetPr>
  <dimension ref="A1"/>
  <sheetViews>
    <sheetView showGridLines="0" tabSelected="1" zoomScale="59" zoomScaleNormal="59" workbookViewId="0">
      <selection activeCell="S6" sqref="S6"/>
    </sheetView>
  </sheetViews>
  <sheetFormatPr defaultRowHeight="14.25" x14ac:dyDescent="0.2"/>
  <sheetData/>
  <pageMargins left="0.7" right="0.7" top="0.75" bottom="0.75" header="0.3" footer="0.3"/>
  <pageSetup scale="61"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DFEC-EF47-412C-9765-F4717D180BA7}">
  <dimension ref="A1:Z151"/>
  <sheetViews>
    <sheetView topLeftCell="N1" zoomScale="83" zoomScaleNormal="83" workbookViewId="0">
      <selection activeCell="O1" sqref="O1:O1048576"/>
    </sheetView>
  </sheetViews>
  <sheetFormatPr defaultRowHeight="14.25" x14ac:dyDescent="0.2"/>
  <cols>
    <col min="1" max="1" width="10.25" style="9" bestFit="1" customWidth="1"/>
    <col min="2" max="2" width="14" style="9" bestFit="1" customWidth="1"/>
    <col min="3" max="3" width="11.5" bestFit="1" customWidth="1"/>
    <col min="4" max="4" width="15.5" bestFit="1" customWidth="1"/>
    <col min="5" max="5" width="14.5" bestFit="1" customWidth="1"/>
    <col min="7" max="7" width="18.375" customWidth="1"/>
    <col min="8" max="8" width="24.75" style="10" bestFit="1" customWidth="1"/>
    <col min="9" max="9" width="21.875" style="10" bestFit="1" customWidth="1"/>
    <col min="10" max="10" width="17.875" bestFit="1" customWidth="1"/>
    <col min="11" max="11" width="24.75" bestFit="1" customWidth="1"/>
    <col min="12" max="12" width="12.5" bestFit="1" customWidth="1"/>
    <col min="13" max="13" width="27.75" style="11" bestFit="1" customWidth="1"/>
    <col min="14" max="14" width="13.5" bestFit="1" customWidth="1"/>
    <col min="15" max="15" width="17.125" bestFit="1" customWidth="1"/>
    <col min="16" max="16" width="27.75" customWidth="1"/>
    <col min="17" max="17" width="23" bestFit="1" customWidth="1"/>
    <col min="18" max="18" width="25.125" bestFit="1" customWidth="1"/>
    <col min="19" max="19" width="21.625" bestFit="1" customWidth="1"/>
    <col min="20" max="20" width="20.125" style="11" bestFit="1" customWidth="1"/>
    <col min="21" max="21" width="19.75" style="11" bestFit="1" customWidth="1"/>
    <col min="22" max="22" width="24.5" bestFit="1" customWidth="1"/>
    <col min="23" max="23" width="27.75" bestFit="1" customWidth="1"/>
    <col min="24" max="24" width="30.125" bestFit="1" customWidth="1"/>
    <col min="25" max="25" width="20" style="12" bestFit="1" customWidth="1"/>
    <col min="26" max="26" width="31.125" bestFit="1" customWidth="1"/>
  </cols>
  <sheetData>
    <row r="1" spans="1:26" ht="15" x14ac:dyDescent="0.2">
      <c r="A1" s="2" t="s">
        <v>0</v>
      </c>
      <c r="B1" s="2" t="s">
        <v>1</v>
      </c>
      <c r="C1" s="1" t="s">
        <v>2</v>
      </c>
      <c r="D1" s="1" t="s">
        <v>3</v>
      </c>
      <c r="E1" s="1" t="s">
        <v>4</v>
      </c>
      <c r="G1" s="1" t="s">
        <v>5</v>
      </c>
      <c r="H1" s="3" t="s">
        <v>6</v>
      </c>
      <c r="I1" s="3" t="s">
        <v>7</v>
      </c>
      <c r="J1" s="1" t="s">
        <v>8</v>
      </c>
      <c r="K1" s="1" t="s">
        <v>9</v>
      </c>
      <c r="L1" s="1" t="s">
        <v>10</v>
      </c>
      <c r="M1" s="4" t="s">
        <v>11</v>
      </c>
      <c r="N1" s="1" t="s">
        <v>12</v>
      </c>
      <c r="O1" s="1" t="s">
        <v>13</v>
      </c>
      <c r="P1" s="1" t="s">
        <v>14</v>
      </c>
      <c r="Q1" s="1" t="s">
        <v>15</v>
      </c>
      <c r="R1" s="1" t="s">
        <v>16</v>
      </c>
      <c r="S1" s="1" t="s">
        <v>17</v>
      </c>
      <c r="T1" s="4" t="s">
        <v>18</v>
      </c>
      <c r="U1" s="5" t="s">
        <v>19</v>
      </c>
      <c r="V1" s="6" t="s">
        <v>20</v>
      </c>
      <c r="W1" s="6" t="s">
        <v>21</v>
      </c>
      <c r="X1" s="6" t="s">
        <v>22</v>
      </c>
      <c r="Y1" s="7" t="s">
        <v>23</v>
      </c>
      <c r="Z1" s="8" t="s">
        <v>24</v>
      </c>
    </row>
    <row r="2" spans="1:26" x14ac:dyDescent="0.2">
      <c r="A2" s="9">
        <v>45047</v>
      </c>
      <c r="B2" s="9" t="str">
        <f>TEXT(A2,"dddd")</f>
        <v>Monday</v>
      </c>
      <c r="C2" t="s">
        <v>25</v>
      </c>
      <c r="D2" t="s">
        <v>26</v>
      </c>
      <c r="E2" t="s">
        <v>27</v>
      </c>
      <c r="G2" t="s">
        <v>28</v>
      </c>
      <c r="H2" s="10">
        <v>0.3125</v>
      </c>
      <c r="I2" s="10">
        <v>0.67361111111111116</v>
      </c>
      <c r="J2">
        <v>440</v>
      </c>
      <c r="K2">
        <v>18</v>
      </c>
      <c r="L2" t="s">
        <v>29</v>
      </c>
      <c r="M2" s="11">
        <v>11500</v>
      </c>
      <c r="N2" t="s">
        <v>30</v>
      </c>
      <c r="O2">
        <v>18</v>
      </c>
      <c r="P2">
        <v>54</v>
      </c>
      <c r="Q2" s="11">
        <v>170</v>
      </c>
      <c r="R2">
        <v>7</v>
      </c>
      <c r="S2" t="s">
        <v>31</v>
      </c>
      <c r="T2" s="11">
        <v>207000</v>
      </c>
      <c r="U2" s="11">
        <v>9180</v>
      </c>
      <c r="V2" s="11">
        <v>197820</v>
      </c>
      <c r="W2" s="11">
        <v>3000</v>
      </c>
      <c r="X2" s="11">
        <v>194820</v>
      </c>
      <c r="Y2" s="12">
        <v>4</v>
      </c>
      <c r="Z2" t="s">
        <v>32</v>
      </c>
    </row>
    <row r="3" spans="1:26" x14ac:dyDescent="0.2">
      <c r="A3" s="9">
        <v>45047</v>
      </c>
      <c r="B3" s="9" t="str">
        <f t="shared" ref="B3:B66" si="0">TEXT(A3,"dddd")</f>
        <v>Monday</v>
      </c>
      <c r="C3" t="s">
        <v>33</v>
      </c>
      <c r="D3" t="s">
        <v>34</v>
      </c>
      <c r="E3" t="s">
        <v>35</v>
      </c>
      <c r="G3" t="s">
        <v>36</v>
      </c>
      <c r="H3" s="10">
        <v>0.125</v>
      </c>
      <c r="I3" s="10">
        <v>0.40138888888888891</v>
      </c>
      <c r="J3">
        <v>230</v>
      </c>
      <c r="K3">
        <v>18</v>
      </c>
      <c r="L3" t="s">
        <v>29</v>
      </c>
      <c r="M3" s="11">
        <v>4000</v>
      </c>
      <c r="N3" t="s">
        <v>37</v>
      </c>
      <c r="O3">
        <v>18</v>
      </c>
      <c r="P3">
        <v>29</v>
      </c>
      <c r="Q3" s="11">
        <v>170</v>
      </c>
      <c r="R3">
        <v>55</v>
      </c>
      <c r="S3" t="s">
        <v>38</v>
      </c>
      <c r="T3" s="11">
        <v>72000</v>
      </c>
      <c r="U3" s="11">
        <v>4930</v>
      </c>
      <c r="V3" s="11">
        <v>67070</v>
      </c>
      <c r="W3" s="11">
        <v>3000</v>
      </c>
      <c r="X3" s="11">
        <v>64070</v>
      </c>
      <c r="Y3" s="12">
        <v>4</v>
      </c>
      <c r="Z3" t="s">
        <v>32</v>
      </c>
    </row>
    <row r="4" spans="1:26" x14ac:dyDescent="0.2">
      <c r="A4" s="9">
        <v>45049</v>
      </c>
      <c r="B4" s="9" t="str">
        <f t="shared" si="0"/>
        <v>Wednesday</v>
      </c>
      <c r="C4" t="s">
        <v>39</v>
      </c>
      <c r="D4" t="s">
        <v>34</v>
      </c>
      <c r="E4" t="s">
        <v>40</v>
      </c>
      <c r="G4" t="s">
        <v>41</v>
      </c>
      <c r="H4" s="10">
        <v>0.52083333333333337</v>
      </c>
      <c r="I4" s="10">
        <v>0.75347222222222232</v>
      </c>
      <c r="J4">
        <v>800</v>
      </c>
      <c r="K4">
        <v>13</v>
      </c>
      <c r="L4" t="s">
        <v>42</v>
      </c>
      <c r="M4" s="11">
        <v>15000</v>
      </c>
      <c r="N4" t="s">
        <v>43</v>
      </c>
      <c r="O4">
        <v>18</v>
      </c>
      <c r="P4">
        <v>114</v>
      </c>
      <c r="Q4" s="11">
        <v>170</v>
      </c>
      <c r="R4">
        <v>14</v>
      </c>
      <c r="S4" t="s">
        <v>38</v>
      </c>
      <c r="T4" s="11">
        <v>195000</v>
      </c>
      <c r="U4" s="11">
        <v>19380</v>
      </c>
      <c r="V4" s="11">
        <v>175620</v>
      </c>
      <c r="W4" s="11">
        <v>3000</v>
      </c>
      <c r="X4" s="11">
        <v>172620</v>
      </c>
      <c r="Y4" s="12">
        <v>1</v>
      </c>
      <c r="Z4" t="s">
        <v>44</v>
      </c>
    </row>
    <row r="5" spans="1:26" x14ac:dyDescent="0.2">
      <c r="A5" s="9">
        <v>45050</v>
      </c>
      <c r="B5" s="9" t="str">
        <f t="shared" si="0"/>
        <v>Thursday</v>
      </c>
      <c r="C5" t="s">
        <v>45</v>
      </c>
      <c r="D5" t="s">
        <v>46</v>
      </c>
      <c r="E5" t="s">
        <v>34</v>
      </c>
      <c r="G5" t="s">
        <v>47</v>
      </c>
      <c r="H5" s="10">
        <v>0.45833333333333331</v>
      </c>
      <c r="I5" s="10">
        <v>0.86250000000000004</v>
      </c>
      <c r="J5">
        <v>550</v>
      </c>
      <c r="K5">
        <v>17</v>
      </c>
      <c r="L5" t="s">
        <v>42</v>
      </c>
      <c r="M5" s="11">
        <v>12000</v>
      </c>
      <c r="N5" t="s">
        <v>37</v>
      </c>
      <c r="O5">
        <v>18</v>
      </c>
      <c r="P5">
        <v>79</v>
      </c>
      <c r="Q5" s="11">
        <v>170</v>
      </c>
      <c r="R5">
        <v>59</v>
      </c>
      <c r="S5" t="s">
        <v>38</v>
      </c>
      <c r="T5" s="11">
        <v>204000</v>
      </c>
      <c r="U5" s="11">
        <v>13430</v>
      </c>
      <c r="V5" s="11">
        <v>190570</v>
      </c>
      <c r="W5" s="11">
        <v>3000</v>
      </c>
      <c r="X5" s="11">
        <v>187570</v>
      </c>
      <c r="Y5" s="12">
        <v>5</v>
      </c>
      <c r="Z5" t="s">
        <v>48</v>
      </c>
    </row>
    <row r="6" spans="1:26" x14ac:dyDescent="0.2">
      <c r="A6" s="9">
        <v>45051</v>
      </c>
      <c r="B6" s="9" t="str">
        <f t="shared" si="0"/>
        <v>Friday</v>
      </c>
      <c r="C6" t="s">
        <v>49</v>
      </c>
      <c r="D6" t="s">
        <v>27</v>
      </c>
      <c r="E6" t="s">
        <v>26</v>
      </c>
      <c r="G6" t="s">
        <v>50</v>
      </c>
      <c r="H6" s="10">
        <v>0.35416666666666669</v>
      </c>
      <c r="I6" s="10">
        <v>0.75208333333333333</v>
      </c>
      <c r="J6">
        <v>370</v>
      </c>
      <c r="K6">
        <v>16</v>
      </c>
      <c r="L6" t="s">
        <v>29</v>
      </c>
      <c r="M6" s="11">
        <v>10000</v>
      </c>
      <c r="N6" t="s">
        <v>43</v>
      </c>
      <c r="O6">
        <v>18</v>
      </c>
      <c r="P6">
        <v>53</v>
      </c>
      <c r="Q6" s="11">
        <v>170</v>
      </c>
      <c r="R6">
        <v>59</v>
      </c>
      <c r="S6" t="s">
        <v>38</v>
      </c>
      <c r="T6" s="11">
        <v>160000</v>
      </c>
      <c r="U6" s="11">
        <v>9010</v>
      </c>
      <c r="V6" s="11">
        <v>150990</v>
      </c>
      <c r="W6" s="11">
        <v>3000</v>
      </c>
      <c r="X6" s="11">
        <v>147990</v>
      </c>
      <c r="Y6" s="12">
        <v>3</v>
      </c>
      <c r="Z6" t="s">
        <v>51</v>
      </c>
    </row>
    <row r="7" spans="1:26" x14ac:dyDescent="0.2">
      <c r="A7" s="9">
        <v>45052</v>
      </c>
      <c r="B7" s="9" t="str">
        <f t="shared" si="0"/>
        <v>Saturday</v>
      </c>
      <c r="C7" t="s">
        <v>52</v>
      </c>
      <c r="D7" t="s">
        <v>53</v>
      </c>
      <c r="E7" t="s">
        <v>27</v>
      </c>
      <c r="G7" t="s">
        <v>54</v>
      </c>
      <c r="H7" s="10">
        <v>0.4375</v>
      </c>
      <c r="I7" s="10">
        <v>0.77916666666666667</v>
      </c>
      <c r="J7">
        <v>760</v>
      </c>
      <c r="K7">
        <v>17</v>
      </c>
      <c r="L7" t="s">
        <v>42</v>
      </c>
      <c r="M7" s="11">
        <v>18000</v>
      </c>
      <c r="N7" t="s">
        <v>55</v>
      </c>
      <c r="O7">
        <v>18</v>
      </c>
      <c r="P7">
        <v>109</v>
      </c>
      <c r="Q7" s="11">
        <v>170</v>
      </c>
      <c r="R7">
        <v>48</v>
      </c>
      <c r="S7" t="s">
        <v>56</v>
      </c>
      <c r="T7" s="11">
        <v>306000</v>
      </c>
      <c r="U7" s="11">
        <v>18530</v>
      </c>
      <c r="V7" s="11">
        <v>287470</v>
      </c>
      <c r="W7" s="11">
        <v>3000</v>
      </c>
      <c r="X7" s="11">
        <v>284470</v>
      </c>
      <c r="Y7" s="12">
        <v>5</v>
      </c>
      <c r="Z7" t="s">
        <v>48</v>
      </c>
    </row>
    <row r="8" spans="1:26" x14ac:dyDescent="0.2">
      <c r="A8" s="9">
        <v>45053</v>
      </c>
      <c r="B8" s="9" t="str">
        <f t="shared" si="0"/>
        <v>Sunday</v>
      </c>
      <c r="C8" t="s">
        <v>57</v>
      </c>
      <c r="D8" t="s">
        <v>53</v>
      </c>
      <c r="E8" t="s">
        <v>35</v>
      </c>
      <c r="G8" t="s">
        <v>58</v>
      </c>
      <c r="H8" s="10">
        <v>0.64583333333333337</v>
      </c>
      <c r="I8" s="10">
        <v>1.0979166666666667</v>
      </c>
      <c r="J8">
        <v>980</v>
      </c>
      <c r="K8">
        <v>14</v>
      </c>
      <c r="L8" t="s">
        <v>29</v>
      </c>
      <c r="M8" s="11">
        <v>22000</v>
      </c>
      <c r="N8" t="s">
        <v>37</v>
      </c>
      <c r="O8">
        <v>18</v>
      </c>
      <c r="P8">
        <v>119</v>
      </c>
      <c r="Q8" s="11">
        <v>170</v>
      </c>
      <c r="R8">
        <v>34</v>
      </c>
      <c r="S8" t="s">
        <v>59</v>
      </c>
      <c r="T8" s="11">
        <v>308000</v>
      </c>
      <c r="U8" s="11">
        <v>20230</v>
      </c>
      <c r="V8" s="11">
        <v>287770</v>
      </c>
      <c r="W8" s="11">
        <v>3000</v>
      </c>
      <c r="X8" s="11">
        <v>284770</v>
      </c>
      <c r="Y8" s="12">
        <v>2</v>
      </c>
      <c r="Z8" t="s">
        <v>60</v>
      </c>
    </row>
    <row r="9" spans="1:26" x14ac:dyDescent="0.2">
      <c r="A9" s="9">
        <v>45056</v>
      </c>
      <c r="B9" s="9" t="str">
        <f t="shared" si="0"/>
        <v>Wednesday</v>
      </c>
      <c r="C9" t="s">
        <v>61</v>
      </c>
      <c r="D9" t="s">
        <v>27</v>
      </c>
      <c r="E9" t="s">
        <v>53</v>
      </c>
      <c r="G9" t="s">
        <v>62</v>
      </c>
      <c r="H9" s="10">
        <v>0.52083333333333337</v>
      </c>
      <c r="I9" s="10">
        <v>0.84166666666666679</v>
      </c>
      <c r="J9">
        <v>760</v>
      </c>
      <c r="K9">
        <v>15</v>
      </c>
      <c r="L9" t="s">
        <v>42</v>
      </c>
      <c r="M9" s="11">
        <v>16000</v>
      </c>
      <c r="N9" t="s">
        <v>63</v>
      </c>
      <c r="O9">
        <v>18</v>
      </c>
      <c r="P9">
        <v>109</v>
      </c>
      <c r="Q9" s="11">
        <v>170</v>
      </c>
      <c r="R9">
        <v>49</v>
      </c>
      <c r="S9" t="s">
        <v>31</v>
      </c>
      <c r="T9" s="11">
        <v>240000</v>
      </c>
      <c r="U9" s="11">
        <v>18530</v>
      </c>
      <c r="V9" s="11">
        <v>221470</v>
      </c>
      <c r="W9" s="11">
        <v>3000</v>
      </c>
      <c r="X9" s="11">
        <v>218470</v>
      </c>
      <c r="Y9" s="12">
        <v>5</v>
      </c>
      <c r="Z9" t="s">
        <v>48</v>
      </c>
    </row>
    <row r="10" spans="1:26" x14ac:dyDescent="0.2">
      <c r="A10" s="9">
        <v>45056</v>
      </c>
      <c r="B10" s="9" t="str">
        <f t="shared" si="0"/>
        <v>Wednesday</v>
      </c>
      <c r="C10" t="s">
        <v>64</v>
      </c>
      <c r="D10" t="s">
        <v>40</v>
      </c>
      <c r="E10" t="s">
        <v>34</v>
      </c>
      <c r="G10" t="s">
        <v>65</v>
      </c>
      <c r="H10" s="10">
        <v>0.66666666666666663</v>
      </c>
      <c r="I10" s="10">
        <v>0.94236111111111109</v>
      </c>
      <c r="J10">
        <v>850</v>
      </c>
      <c r="K10">
        <v>17</v>
      </c>
      <c r="L10" t="s">
        <v>29</v>
      </c>
      <c r="M10" s="11">
        <v>18000</v>
      </c>
      <c r="N10" t="s">
        <v>63</v>
      </c>
      <c r="O10">
        <v>18</v>
      </c>
      <c r="P10">
        <v>121</v>
      </c>
      <c r="Q10" s="11">
        <v>170</v>
      </c>
      <c r="R10">
        <v>47</v>
      </c>
      <c r="S10" t="s">
        <v>31</v>
      </c>
      <c r="T10" s="11">
        <v>306000</v>
      </c>
      <c r="U10" s="11">
        <v>20570</v>
      </c>
      <c r="V10" s="11">
        <v>285430</v>
      </c>
      <c r="W10" s="11">
        <v>3000</v>
      </c>
      <c r="X10" s="11">
        <v>282430</v>
      </c>
      <c r="Y10" s="12">
        <v>1</v>
      </c>
      <c r="Z10" t="s">
        <v>44</v>
      </c>
    </row>
    <row r="11" spans="1:26" x14ac:dyDescent="0.2">
      <c r="A11" s="9">
        <v>45058</v>
      </c>
      <c r="B11" s="9" t="str">
        <f t="shared" si="0"/>
        <v>Friday</v>
      </c>
      <c r="C11" t="s">
        <v>52</v>
      </c>
      <c r="D11" t="s">
        <v>26</v>
      </c>
      <c r="E11" t="s">
        <v>27</v>
      </c>
      <c r="G11" t="s">
        <v>28</v>
      </c>
      <c r="H11" s="10">
        <v>0.28125</v>
      </c>
      <c r="I11" s="10">
        <v>0.51319444444444451</v>
      </c>
      <c r="J11">
        <v>250</v>
      </c>
      <c r="K11">
        <v>16</v>
      </c>
      <c r="L11" t="s">
        <v>29</v>
      </c>
      <c r="M11" s="11">
        <v>7000</v>
      </c>
      <c r="N11" t="s">
        <v>66</v>
      </c>
      <c r="O11">
        <v>18</v>
      </c>
      <c r="P11">
        <v>54</v>
      </c>
      <c r="Q11" s="11">
        <v>170</v>
      </c>
      <c r="R11">
        <v>60</v>
      </c>
      <c r="S11" t="s">
        <v>31</v>
      </c>
      <c r="T11" s="11">
        <v>112000</v>
      </c>
      <c r="U11" s="11">
        <v>9180</v>
      </c>
      <c r="V11" s="11">
        <v>102820</v>
      </c>
      <c r="W11" s="11">
        <v>3000</v>
      </c>
      <c r="X11" s="11">
        <v>99820</v>
      </c>
      <c r="Y11" s="12">
        <v>3</v>
      </c>
      <c r="Z11" t="s">
        <v>51</v>
      </c>
    </row>
    <row r="12" spans="1:26" x14ac:dyDescent="0.2">
      <c r="A12" s="9">
        <v>45058</v>
      </c>
      <c r="B12" s="9" t="str">
        <f t="shared" si="0"/>
        <v>Friday</v>
      </c>
      <c r="C12" t="s">
        <v>25</v>
      </c>
      <c r="D12" t="s">
        <v>40</v>
      </c>
      <c r="E12" t="s">
        <v>26</v>
      </c>
      <c r="G12" t="s">
        <v>67</v>
      </c>
      <c r="H12" s="10">
        <v>0.48958333333333331</v>
      </c>
      <c r="I12" s="10">
        <v>0.93611111111111112</v>
      </c>
      <c r="J12">
        <v>600</v>
      </c>
      <c r="K12">
        <v>14</v>
      </c>
      <c r="L12" t="s">
        <v>42</v>
      </c>
      <c r="M12" s="11">
        <v>12000</v>
      </c>
      <c r="N12" t="s">
        <v>68</v>
      </c>
      <c r="O12">
        <v>18</v>
      </c>
      <c r="P12">
        <v>50</v>
      </c>
      <c r="Q12" s="11">
        <v>170</v>
      </c>
      <c r="R12">
        <v>20</v>
      </c>
      <c r="S12" t="s">
        <v>31</v>
      </c>
      <c r="T12" s="11">
        <v>168000</v>
      </c>
      <c r="U12" s="11">
        <v>8500</v>
      </c>
      <c r="V12" s="11">
        <v>159500</v>
      </c>
      <c r="W12" s="11">
        <v>3000</v>
      </c>
      <c r="X12" s="11">
        <v>156500</v>
      </c>
      <c r="Y12" s="12">
        <v>3</v>
      </c>
      <c r="Z12" t="s">
        <v>51</v>
      </c>
    </row>
    <row r="13" spans="1:26" x14ac:dyDescent="0.2">
      <c r="A13" s="9">
        <v>45059</v>
      </c>
      <c r="B13" s="9" t="str">
        <f t="shared" si="0"/>
        <v>Saturday</v>
      </c>
      <c r="C13" t="s">
        <v>69</v>
      </c>
      <c r="D13" t="s">
        <v>40</v>
      </c>
      <c r="E13" t="s">
        <v>53</v>
      </c>
      <c r="G13" t="s">
        <v>70</v>
      </c>
      <c r="H13" s="10">
        <v>0.5</v>
      </c>
      <c r="I13" s="10">
        <v>0.78680555555555554</v>
      </c>
      <c r="J13">
        <v>590</v>
      </c>
      <c r="K13">
        <v>15</v>
      </c>
      <c r="L13" t="s">
        <v>29</v>
      </c>
      <c r="M13" s="11">
        <v>16000</v>
      </c>
      <c r="N13" t="s">
        <v>66</v>
      </c>
      <c r="O13">
        <v>18</v>
      </c>
      <c r="P13">
        <v>102.5</v>
      </c>
      <c r="Q13" s="11">
        <v>170</v>
      </c>
      <c r="R13">
        <v>25</v>
      </c>
      <c r="S13" t="s">
        <v>31</v>
      </c>
      <c r="T13" s="11">
        <v>240000</v>
      </c>
      <c r="U13" s="11">
        <v>17425</v>
      </c>
      <c r="V13" s="11">
        <v>222575</v>
      </c>
      <c r="W13" s="11">
        <v>3000</v>
      </c>
      <c r="X13" s="11">
        <v>219575</v>
      </c>
      <c r="Y13" s="12">
        <v>4</v>
      </c>
      <c r="Z13" t="s">
        <v>32</v>
      </c>
    </row>
    <row r="14" spans="1:26" x14ac:dyDescent="0.2">
      <c r="A14" s="9">
        <v>45060</v>
      </c>
      <c r="B14" s="9" t="str">
        <f t="shared" si="0"/>
        <v>Sunday</v>
      </c>
      <c r="C14" t="s">
        <v>39</v>
      </c>
      <c r="D14" t="s">
        <v>26</v>
      </c>
      <c r="E14" t="s">
        <v>34</v>
      </c>
      <c r="G14" t="s">
        <v>71</v>
      </c>
      <c r="H14" s="10">
        <v>0.25</v>
      </c>
      <c r="I14" s="10">
        <v>0.51805555555555549</v>
      </c>
      <c r="J14">
        <v>320</v>
      </c>
      <c r="K14">
        <v>14</v>
      </c>
      <c r="L14" t="s">
        <v>42</v>
      </c>
      <c r="M14" s="11">
        <v>6000</v>
      </c>
      <c r="N14" t="s">
        <v>72</v>
      </c>
      <c r="O14">
        <v>18</v>
      </c>
      <c r="P14">
        <v>105.83</v>
      </c>
      <c r="Q14" s="11">
        <v>170</v>
      </c>
      <c r="R14">
        <v>48</v>
      </c>
      <c r="S14" t="s">
        <v>38</v>
      </c>
      <c r="T14" s="11">
        <v>84000</v>
      </c>
      <c r="U14" s="11">
        <v>17991.099999999999</v>
      </c>
      <c r="V14" s="11">
        <v>66008.899999999994</v>
      </c>
      <c r="W14" s="11">
        <v>3000</v>
      </c>
      <c r="X14" s="11">
        <v>63008.899999999994</v>
      </c>
      <c r="Y14" s="12">
        <v>5</v>
      </c>
      <c r="Z14" t="s">
        <v>48</v>
      </c>
    </row>
    <row r="15" spans="1:26" x14ac:dyDescent="0.2">
      <c r="A15" s="9">
        <v>45060</v>
      </c>
      <c r="B15" s="9" t="str">
        <f t="shared" si="0"/>
        <v>Sunday</v>
      </c>
      <c r="C15" t="s">
        <v>73</v>
      </c>
      <c r="D15" t="s">
        <v>46</v>
      </c>
      <c r="E15" t="s">
        <v>34</v>
      </c>
      <c r="G15" t="s">
        <v>47</v>
      </c>
      <c r="H15" s="10">
        <v>0.39583333333333331</v>
      </c>
      <c r="I15" s="10">
        <v>0.7</v>
      </c>
      <c r="J15">
        <v>560</v>
      </c>
      <c r="K15">
        <v>17</v>
      </c>
      <c r="L15" t="s">
        <v>42</v>
      </c>
      <c r="M15" s="11">
        <v>12000</v>
      </c>
      <c r="N15" t="s">
        <v>30</v>
      </c>
      <c r="O15">
        <v>18</v>
      </c>
      <c r="P15">
        <v>96.67</v>
      </c>
      <c r="Q15" s="11">
        <v>170</v>
      </c>
      <c r="R15">
        <v>49</v>
      </c>
      <c r="S15" t="s">
        <v>59</v>
      </c>
      <c r="T15" s="11">
        <v>204000</v>
      </c>
      <c r="U15" s="11">
        <v>16433.900000000001</v>
      </c>
      <c r="V15" s="11">
        <v>187566.1</v>
      </c>
      <c r="W15" s="11">
        <v>3000</v>
      </c>
      <c r="X15" s="11">
        <v>184566.1</v>
      </c>
      <c r="Y15" s="12">
        <v>2</v>
      </c>
      <c r="Z15" t="s">
        <v>60</v>
      </c>
    </row>
    <row r="16" spans="1:26" x14ac:dyDescent="0.2">
      <c r="A16" s="9">
        <v>45062</v>
      </c>
      <c r="B16" s="9" t="str">
        <f t="shared" si="0"/>
        <v>Tuesday</v>
      </c>
      <c r="C16" t="s">
        <v>45</v>
      </c>
      <c r="D16" t="s">
        <v>53</v>
      </c>
      <c r="E16" t="s">
        <v>35</v>
      </c>
      <c r="G16" t="s">
        <v>58</v>
      </c>
      <c r="H16" s="10">
        <v>0.25</v>
      </c>
      <c r="I16" s="10">
        <v>0.69236111111111109</v>
      </c>
      <c r="J16">
        <v>410</v>
      </c>
      <c r="K16">
        <v>17</v>
      </c>
      <c r="L16" t="s">
        <v>42</v>
      </c>
      <c r="M16" s="11">
        <v>6000</v>
      </c>
      <c r="N16" t="s">
        <v>55</v>
      </c>
      <c r="O16">
        <v>18</v>
      </c>
      <c r="P16">
        <v>139.16999999999999</v>
      </c>
      <c r="Q16" s="11">
        <v>170</v>
      </c>
      <c r="R16">
        <v>46</v>
      </c>
      <c r="S16" t="s">
        <v>56</v>
      </c>
      <c r="T16" s="11">
        <v>102000</v>
      </c>
      <c r="U16" s="11">
        <v>23658.899999999998</v>
      </c>
      <c r="V16" s="11">
        <v>78341.100000000006</v>
      </c>
      <c r="W16" s="11">
        <v>3000</v>
      </c>
      <c r="X16" s="11">
        <v>75341.100000000006</v>
      </c>
      <c r="Y16" s="12">
        <v>5</v>
      </c>
      <c r="Z16" t="s">
        <v>48</v>
      </c>
    </row>
    <row r="17" spans="1:26" x14ac:dyDescent="0.2">
      <c r="A17" s="9">
        <v>45062</v>
      </c>
      <c r="B17" s="9" t="str">
        <f t="shared" si="0"/>
        <v>Tuesday</v>
      </c>
      <c r="C17" t="s">
        <v>61</v>
      </c>
      <c r="D17" t="s">
        <v>53</v>
      </c>
      <c r="E17" t="s">
        <v>46</v>
      </c>
      <c r="G17" t="s">
        <v>74</v>
      </c>
      <c r="H17" s="10">
        <v>0.69791666666666663</v>
      </c>
      <c r="I17" s="10">
        <v>0.92430555555555549</v>
      </c>
      <c r="J17">
        <v>900</v>
      </c>
      <c r="K17">
        <v>16</v>
      </c>
      <c r="L17" t="s">
        <v>29</v>
      </c>
      <c r="M17" s="11">
        <v>19000</v>
      </c>
      <c r="N17" t="s">
        <v>43</v>
      </c>
      <c r="O17">
        <v>18</v>
      </c>
      <c r="P17">
        <v>46</v>
      </c>
      <c r="Q17" s="11">
        <v>170</v>
      </c>
      <c r="R17">
        <v>4</v>
      </c>
      <c r="S17" t="s">
        <v>59</v>
      </c>
      <c r="T17" s="11">
        <v>304000</v>
      </c>
      <c r="U17" s="11">
        <v>7820</v>
      </c>
      <c r="V17" s="11">
        <v>296180</v>
      </c>
      <c r="W17" s="11">
        <v>3000</v>
      </c>
      <c r="X17" s="11">
        <v>293180</v>
      </c>
      <c r="Y17" s="12">
        <v>2</v>
      </c>
      <c r="Z17" t="s">
        <v>60</v>
      </c>
    </row>
    <row r="18" spans="1:26" x14ac:dyDescent="0.2">
      <c r="A18" s="9">
        <v>45063</v>
      </c>
      <c r="B18" s="9" t="str">
        <f t="shared" si="0"/>
        <v>Wednesday</v>
      </c>
      <c r="C18" t="s">
        <v>39</v>
      </c>
      <c r="D18" t="s">
        <v>26</v>
      </c>
      <c r="E18" t="s">
        <v>53</v>
      </c>
      <c r="G18" t="s">
        <v>75</v>
      </c>
      <c r="H18" s="10">
        <v>0.375</v>
      </c>
      <c r="I18" s="10">
        <v>0.76041666666666674</v>
      </c>
      <c r="J18">
        <v>520</v>
      </c>
      <c r="K18">
        <v>17</v>
      </c>
      <c r="L18" t="s">
        <v>42</v>
      </c>
      <c r="M18" s="11">
        <v>10000</v>
      </c>
      <c r="N18" t="s">
        <v>76</v>
      </c>
      <c r="O18">
        <v>18</v>
      </c>
      <c r="P18">
        <v>88.33</v>
      </c>
      <c r="Q18" s="11">
        <v>170</v>
      </c>
      <c r="R18">
        <v>8</v>
      </c>
      <c r="S18" t="s">
        <v>56</v>
      </c>
      <c r="T18" s="11">
        <v>170000</v>
      </c>
      <c r="U18" s="11">
        <v>15016.1</v>
      </c>
      <c r="V18" s="11">
        <v>154983.9</v>
      </c>
      <c r="W18" s="11">
        <v>3000</v>
      </c>
      <c r="X18" s="11">
        <v>151983.9</v>
      </c>
      <c r="Y18" s="12">
        <v>5</v>
      </c>
      <c r="Z18" t="s">
        <v>48</v>
      </c>
    </row>
    <row r="19" spans="1:26" x14ac:dyDescent="0.2">
      <c r="A19" s="9">
        <v>45064</v>
      </c>
      <c r="B19" s="9" t="str">
        <f t="shared" si="0"/>
        <v>Thursday</v>
      </c>
      <c r="C19" t="s">
        <v>25</v>
      </c>
      <c r="D19" t="s">
        <v>46</v>
      </c>
      <c r="E19" t="s">
        <v>40</v>
      </c>
      <c r="G19" t="s">
        <v>77</v>
      </c>
      <c r="H19" s="10">
        <v>0.41666666666666669</v>
      </c>
      <c r="I19" s="10">
        <v>0.63541666666666674</v>
      </c>
      <c r="J19">
        <v>470</v>
      </c>
      <c r="K19">
        <v>18</v>
      </c>
      <c r="L19" t="s">
        <v>29</v>
      </c>
      <c r="M19" s="11">
        <v>12000</v>
      </c>
      <c r="N19" t="s">
        <v>76</v>
      </c>
      <c r="O19">
        <v>18</v>
      </c>
      <c r="P19">
        <v>75</v>
      </c>
      <c r="Q19" s="11">
        <v>170</v>
      </c>
      <c r="R19">
        <v>27</v>
      </c>
      <c r="S19" t="s">
        <v>59</v>
      </c>
      <c r="T19" s="11">
        <v>216000</v>
      </c>
      <c r="U19" s="11">
        <v>12750</v>
      </c>
      <c r="V19" s="11">
        <v>203250</v>
      </c>
      <c r="W19" s="11">
        <v>3000</v>
      </c>
      <c r="X19" s="11">
        <v>200250</v>
      </c>
      <c r="Y19" s="12">
        <v>5</v>
      </c>
      <c r="Z19" t="s">
        <v>48</v>
      </c>
    </row>
    <row r="20" spans="1:26" x14ac:dyDescent="0.2">
      <c r="A20" s="9">
        <v>45066</v>
      </c>
      <c r="B20" s="9" t="str">
        <f t="shared" si="0"/>
        <v>Saturday</v>
      </c>
      <c r="C20" t="s">
        <v>49</v>
      </c>
      <c r="D20" t="s">
        <v>35</v>
      </c>
      <c r="E20" t="s">
        <v>40</v>
      </c>
      <c r="G20" t="s">
        <v>78</v>
      </c>
      <c r="H20" s="10">
        <v>0.33333333333333331</v>
      </c>
      <c r="I20" s="10">
        <v>0.71875</v>
      </c>
      <c r="J20">
        <v>400</v>
      </c>
      <c r="K20">
        <v>15</v>
      </c>
      <c r="L20" t="s">
        <v>42</v>
      </c>
      <c r="M20" s="11">
        <v>10000</v>
      </c>
      <c r="N20" t="s">
        <v>37</v>
      </c>
      <c r="O20">
        <v>18</v>
      </c>
      <c r="P20">
        <v>148.33000000000001</v>
      </c>
      <c r="Q20" s="11">
        <v>170</v>
      </c>
      <c r="R20">
        <v>7</v>
      </c>
      <c r="S20" t="s">
        <v>31</v>
      </c>
      <c r="T20" s="11">
        <v>150000</v>
      </c>
      <c r="U20" s="11">
        <v>25216.100000000002</v>
      </c>
      <c r="V20" s="11">
        <v>124783.9</v>
      </c>
      <c r="W20" s="11">
        <v>3000</v>
      </c>
      <c r="X20" s="11">
        <v>121783.9</v>
      </c>
      <c r="Y20" s="12">
        <v>3</v>
      </c>
      <c r="Z20" t="s">
        <v>51</v>
      </c>
    </row>
    <row r="21" spans="1:26" x14ac:dyDescent="0.2">
      <c r="A21" s="9">
        <v>45069</v>
      </c>
      <c r="B21" s="9" t="str">
        <f t="shared" si="0"/>
        <v>Tuesday</v>
      </c>
      <c r="C21" t="s">
        <v>61</v>
      </c>
      <c r="D21" t="s">
        <v>27</v>
      </c>
      <c r="E21" t="s">
        <v>79</v>
      </c>
      <c r="G21" t="s">
        <v>80</v>
      </c>
      <c r="H21" s="10">
        <v>0.125</v>
      </c>
      <c r="I21" s="10">
        <v>0.39791666666666664</v>
      </c>
      <c r="J21">
        <v>130</v>
      </c>
      <c r="K21">
        <v>18</v>
      </c>
      <c r="L21" t="s">
        <v>29</v>
      </c>
      <c r="M21" s="11">
        <v>3000</v>
      </c>
      <c r="N21" t="s">
        <v>66</v>
      </c>
      <c r="O21">
        <v>18</v>
      </c>
      <c r="P21">
        <v>96.67</v>
      </c>
      <c r="Q21" s="11">
        <v>170</v>
      </c>
      <c r="R21">
        <v>15</v>
      </c>
      <c r="S21" t="s">
        <v>31</v>
      </c>
      <c r="T21" s="11">
        <v>54000</v>
      </c>
      <c r="U21" s="11">
        <v>16433.900000000001</v>
      </c>
      <c r="V21" s="11">
        <v>37566.1</v>
      </c>
      <c r="W21" s="11">
        <v>3000</v>
      </c>
      <c r="X21" s="11">
        <v>34566.1</v>
      </c>
      <c r="Y21" s="12">
        <v>4</v>
      </c>
      <c r="Z21" t="s">
        <v>32</v>
      </c>
    </row>
    <row r="22" spans="1:26" x14ac:dyDescent="0.2">
      <c r="A22" s="9">
        <v>45071</v>
      </c>
      <c r="B22" s="9" t="str">
        <f t="shared" si="0"/>
        <v>Thursday</v>
      </c>
      <c r="C22" t="s">
        <v>33</v>
      </c>
      <c r="D22" t="s">
        <v>79</v>
      </c>
      <c r="E22" t="s">
        <v>26</v>
      </c>
      <c r="G22" t="s">
        <v>81</v>
      </c>
      <c r="H22" s="10">
        <v>0.66666666666666663</v>
      </c>
      <c r="I22" s="10">
        <v>0.88611111111111107</v>
      </c>
      <c r="J22">
        <v>970</v>
      </c>
      <c r="K22">
        <v>18</v>
      </c>
      <c r="L22" t="s">
        <v>29</v>
      </c>
      <c r="M22" s="11">
        <v>22000</v>
      </c>
      <c r="N22" t="s">
        <v>76</v>
      </c>
      <c r="O22">
        <v>18</v>
      </c>
      <c r="P22">
        <v>89.17</v>
      </c>
      <c r="Q22" s="11">
        <v>170</v>
      </c>
      <c r="R22">
        <v>38</v>
      </c>
      <c r="S22" t="s">
        <v>56</v>
      </c>
      <c r="T22" s="11">
        <v>396000</v>
      </c>
      <c r="U22" s="11">
        <v>15158.9</v>
      </c>
      <c r="V22" s="11">
        <v>380841.1</v>
      </c>
      <c r="W22" s="11">
        <v>3000</v>
      </c>
      <c r="X22" s="11">
        <v>377841.1</v>
      </c>
      <c r="Y22" s="12">
        <v>1</v>
      </c>
      <c r="Z22" t="s">
        <v>44</v>
      </c>
    </row>
    <row r="23" spans="1:26" x14ac:dyDescent="0.2">
      <c r="A23" s="9">
        <v>45071</v>
      </c>
      <c r="B23" s="9" t="str">
        <f t="shared" si="0"/>
        <v>Thursday</v>
      </c>
      <c r="C23" t="s">
        <v>39</v>
      </c>
      <c r="D23" t="s">
        <v>27</v>
      </c>
      <c r="E23" t="s">
        <v>53</v>
      </c>
      <c r="G23" t="s">
        <v>62</v>
      </c>
      <c r="H23" s="10">
        <v>0.45833333333333331</v>
      </c>
      <c r="I23" s="10">
        <v>0.88541666666666663</v>
      </c>
      <c r="J23">
        <v>600</v>
      </c>
      <c r="K23">
        <v>13</v>
      </c>
      <c r="L23" t="s">
        <v>42</v>
      </c>
      <c r="M23" s="11">
        <v>15000</v>
      </c>
      <c r="N23" t="s">
        <v>55</v>
      </c>
      <c r="O23">
        <v>18</v>
      </c>
      <c r="P23">
        <v>125</v>
      </c>
      <c r="Q23" s="11">
        <v>170</v>
      </c>
      <c r="R23">
        <v>8</v>
      </c>
      <c r="S23" t="s">
        <v>56</v>
      </c>
      <c r="T23" s="11">
        <v>195000</v>
      </c>
      <c r="U23" s="11">
        <v>21250</v>
      </c>
      <c r="V23" s="11">
        <v>173750</v>
      </c>
      <c r="W23" s="11">
        <v>3000</v>
      </c>
      <c r="X23" s="11">
        <v>170750</v>
      </c>
      <c r="Y23" s="12">
        <v>5</v>
      </c>
      <c r="Z23" t="s">
        <v>48</v>
      </c>
    </row>
    <row r="24" spans="1:26" x14ac:dyDescent="0.2">
      <c r="A24" s="9">
        <v>45073</v>
      </c>
      <c r="B24" s="9" t="str">
        <f t="shared" si="0"/>
        <v>Saturday</v>
      </c>
      <c r="C24" t="s">
        <v>82</v>
      </c>
      <c r="D24" t="s">
        <v>27</v>
      </c>
      <c r="E24" t="s">
        <v>46</v>
      </c>
      <c r="G24" t="s">
        <v>83</v>
      </c>
      <c r="H24" s="10">
        <v>0.25</v>
      </c>
      <c r="I24" s="10">
        <v>0.62986111111111109</v>
      </c>
      <c r="J24">
        <v>320</v>
      </c>
      <c r="K24">
        <v>18</v>
      </c>
      <c r="L24" t="s">
        <v>29</v>
      </c>
      <c r="M24" s="11">
        <v>5500</v>
      </c>
      <c r="N24" t="s">
        <v>76</v>
      </c>
      <c r="O24">
        <v>18</v>
      </c>
      <c r="P24">
        <v>83.33</v>
      </c>
      <c r="Q24" s="11">
        <v>170</v>
      </c>
      <c r="R24">
        <v>6</v>
      </c>
      <c r="S24" t="s">
        <v>59</v>
      </c>
      <c r="T24" s="11">
        <v>99000</v>
      </c>
      <c r="U24" s="11">
        <v>14166.1</v>
      </c>
      <c r="V24" s="11">
        <v>84833.9</v>
      </c>
      <c r="W24" s="11">
        <v>3000</v>
      </c>
      <c r="X24" s="11">
        <v>81833.899999999994</v>
      </c>
      <c r="Y24" s="12">
        <v>3</v>
      </c>
      <c r="Z24" t="s">
        <v>51</v>
      </c>
    </row>
    <row r="25" spans="1:26" x14ac:dyDescent="0.2">
      <c r="A25" s="9">
        <v>45073</v>
      </c>
      <c r="B25" s="9" t="str">
        <f t="shared" si="0"/>
        <v>Saturday</v>
      </c>
      <c r="C25" t="s">
        <v>84</v>
      </c>
      <c r="D25" t="s">
        <v>53</v>
      </c>
      <c r="E25" t="s">
        <v>46</v>
      </c>
      <c r="G25" t="s">
        <v>74</v>
      </c>
      <c r="H25" s="10">
        <v>0.375</v>
      </c>
      <c r="I25" s="10">
        <v>0.78541666666666665</v>
      </c>
      <c r="J25">
        <v>520</v>
      </c>
      <c r="K25">
        <v>16</v>
      </c>
      <c r="L25" t="s">
        <v>42</v>
      </c>
      <c r="M25" s="11">
        <v>11000</v>
      </c>
      <c r="N25" t="s">
        <v>85</v>
      </c>
      <c r="O25">
        <v>18</v>
      </c>
      <c r="P25">
        <v>46</v>
      </c>
      <c r="Q25" s="11">
        <v>170</v>
      </c>
      <c r="R25">
        <v>27</v>
      </c>
      <c r="S25" t="s">
        <v>38</v>
      </c>
      <c r="T25" s="11">
        <v>176000</v>
      </c>
      <c r="U25" s="11">
        <v>7820</v>
      </c>
      <c r="V25" s="11">
        <v>168180</v>
      </c>
      <c r="W25" s="11">
        <v>3000</v>
      </c>
      <c r="X25" s="11">
        <v>165180</v>
      </c>
      <c r="Y25" s="12">
        <v>5</v>
      </c>
      <c r="Z25" t="s">
        <v>48</v>
      </c>
    </row>
    <row r="26" spans="1:26" x14ac:dyDescent="0.2">
      <c r="A26" s="9">
        <v>45074</v>
      </c>
      <c r="B26" s="9" t="str">
        <f t="shared" si="0"/>
        <v>Sunday</v>
      </c>
      <c r="C26" t="s">
        <v>57</v>
      </c>
      <c r="D26" t="s">
        <v>53</v>
      </c>
      <c r="E26" t="s">
        <v>79</v>
      </c>
      <c r="G26" t="s">
        <v>86</v>
      </c>
      <c r="H26" s="10">
        <v>0.58333333333333337</v>
      </c>
      <c r="I26" s="10">
        <v>1.0034722222222223</v>
      </c>
      <c r="J26">
        <v>760</v>
      </c>
      <c r="K26">
        <v>16</v>
      </c>
      <c r="L26" t="s">
        <v>42</v>
      </c>
      <c r="M26" s="11">
        <v>16000</v>
      </c>
      <c r="N26" t="s">
        <v>72</v>
      </c>
      <c r="O26">
        <v>18</v>
      </c>
      <c r="P26">
        <v>21.67</v>
      </c>
      <c r="Q26" s="11">
        <v>170</v>
      </c>
      <c r="R26">
        <v>48</v>
      </c>
      <c r="S26" t="s">
        <v>59</v>
      </c>
      <c r="T26" s="11">
        <v>256000</v>
      </c>
      <c r="U26" s="11">
        <v>3683.9</v>
      </c>
      <c r="V26" s="11">
        <v>252316.1</v>
      </c>
      <c r="W26" s="11">
        <v>3000</v>
      </c>
      <c r="X26" s="11">
        <v>249316.1</v>
      </c>
      <c r="Y26" s="12">
        <v>2</v>
      </c>
      <c r="Z26" t="s">
        <v>60</v>
      </c>
    </row>
    <row r="27" spans="1:26" x14ac:dyDescent="0.2">
      <c r="A27" s="9">
        <v>45076</v>
      </c>
      <c r="B27" s="9" t="str">
        <f t="shared" si="0"/>
        <v>Tuesday</v>
      </c>
      <c r="C27" t="s">
        <v>49</v>
      </c>
      <c r="D27" t="s">
        <v>35</v>
      </c>
      <c r="E27" t="s">
        <v>53</v>
      </c>
      <c r="G27" t="s">
        <v>87</v>
      </c>
      <c r="H27" s="10">
        <v>0.25</v>
      </c>
      <c r="I27" s="10">
        <v>0.47013888888888888</v>
      </c>
      <c r="J27">
        <v>410</v>
      </c>
      <c r="K27">
        <v>14</v>
      </c>
      <c r="L27" t="s">
        <v>29</v>
      </c>
      <c r="M27" s="11">
        <v>6000</v>
      </c>
      <c r="N27" t="s">
        <v>68</v>
      </c>
      <c r="O27">
        <v>18</v>
      </c>
      <c r="P27">
        <v>139</v>
      </c>
      <c r="Q27" s="11">
        <v>170</v>
      </c>
      <c r="R27">
        <v>19</v>
      </c>
      <c r="S27" t="s">
        <v>31</v>
      </c>
      <c r="T27" s="11">
        <v>84000</v>
      </c>
      <c r="U27" s="11">
        <v>23630</v>
      </c>
      <c r="V27" s="11">
        <v>60370</v>
      </c>
      <c r="W27" s="11">
        <v>3000</v>
      </c>
      <c r="X27" s="11">
        <v>57370</v>
      </c>
      <c r="Y27" s="12">
        <v>2</v>
      </c>
      <c r="Z27" t="s">
        <v>60</v>
      </c>
    </row>
    <row r="28" spans="1:26" x14ac:dyDescent="0.2">
      <c r="A28" s="9">
        <v>45078</v>
      </c>
      <c r="B28" s="9" t="str">
        <f t="shared" si="0"/>
        <v>Thursday</v>
      </c>
      <c r="C28" t="s">
        <v>45</v>
      </c>
      <c r="D28" t="s">
        <v>46</v>
      </c>
      <c r="E28" t="s">
        <v>40</v>
      </c>
      <c r="G28" t="s">
        <v>77</v>
      </c>
      <c r="H28" s="10">
        <v>0.29166666666666669</v>
      </c>
      <c r="I28" s="10">
        <v>0.53541666666666665</v>
      </c>
      <c r="J28">
        <v>380</v>
      </c>
      <c r="K28">
        <v>18</v>
      </c>
      <c r="L28" t="s">
        <v>29</v>
      </c>
      <c r="M28" s="11">
        <v>7000</v>
      </c>
      <c r="N28" t="s">
        <v>68</v>
      </c>
      <c r="O28">
        <v>18</v>
      </c>
      <c r="P28">
        <v>75</v>
      </c>
      <c r="Q28" s="11">
        <v>170</v>
      </c>
      <c r="R28">
        <v>36</v>
      </c>
      <c r="S28" t="s">
        <v>31</v>
      </c>
      <c r="T28" s="11">
        <v>126000</v>
      </c>
      <c r="U28" s="11">
        <v>12750</v>
      </c>
      <c r="V28" s="11">
        <v>113250</v>
      </c>
      <c r="W28" s="11">
        <v>3000</v>
      </c>
      <c r="X28" s="11">
        <v>110250</v>
      </c>
      <c r="Y28" s="12">
        <v>1</v>
      </c>
      <c r="Z28" t="s">
        <v>44</v>
      </c>
    </row>
    <row r="29" spans="1:26" x14ac:dyDescent="0.2">
      <c r="A29" s="9">
        <v>45082</v>
      </c>
      <c r="B29" s="9" t="str">
        <f t="shared" si="0"/>
        <v>Monday</v>
      </c>
      <c r="C29" t="s">
        <v>73</v>
      </c>
      <c r="D29" t="s">
        <v>40</v>
      </c>
      <c r="E29" t="s">
        <v>79</v>
      </c>
      <c r="G29" t="s">
        <v>88</v>
      </c>
      <c r="H29" s="10">
        <v>0.45833333333333331</v>
      </c>
      <c r="I29" s="10">
        <v>0.66736111111111107</v>
      </c>
      <c r="J29">
        <v>600</v>
      </c>
      <c r="K29">
        <v>16</v>
      </c>
      <c r="L29" t="s">
        <v>29</v>
      </c>
      <c r="M29" s="11">
        <v>16000</v>
      </c>
      <c r="N29" t="s">
        <v>85</v>
      </c>
      <c r="O29">
        <v>18</v>
      </c>
      <c r="P29">
        <v>103.33</v>
      </c>
      <c r="Q29" s="11">
        <v>170</v>
      </c>
      <c r="R29">
        <v>2</v>
      </c>
      <c r="S29" t="s">
        <v>56</v>
      </c>
      <c r="T29" s="11">
        <v>256000</v>
      </c>
      <c r="U29" s="11">
        <v>17566.099999999999</v>
      </c>
      <c r="V29" s="11">
        <v>238433.9</v>
      </c>
      <c r="W29" s="11">
        <v>3000</v>
      </c>
      <c r="X29" s="11">
        <v>235433.9</v>
      </c>
      <c r="Y29" s="12">
        <v>4</v>
      </c>
      <c r="Z29" t="s">
        <v>32</v>
      </c>
    </row>
    <row r="30" spans="1:26" x14ac:dyDescent="0.2">
      <c r="A30" s="9">
        <v>45086</v>
      </c>
      <c r="B30" s="9" t="str">
        <f t="shared" si="0"/>
        <v>Friday</v>
      </c>
      <c r="C30" t="s">
        <v>25</v>
      </c>
      <c r="D30" t="s">
        <v>46</v>
      </c>
      <c r="E30" t="s">
        <v>53</v>
      </c>
      <c r="G30" t="s">
        <v>89</v>
      </c>
      <c r="H30" s="10">
        <v>0.45833333333333331</v>
      </c>
      <c r="I30" s="10">
        <v>0.89166666666666661</v>
      </c>
      <c r="J30">
        <v>550</v>
      </c>
      <c r="K30">
        <v>18</v>
      </c>
      <c r="L30" t="s">
        <v>42</v>
      </c>
      <c r="M30" s="11">
        <v>18000</v>
      </c>
      <c r="N30" t="s">
        <v>66</v>
      </c>
      <c r="O30">
        <v>18</v>
      </c>
      <c r="P30">
        <v>53.33</v>
      </c>
      <c r="Q30" s="11">
        <v>170</v>
      </c>
      <c r="R30">
        <v>8</v>
      </c>
      <c r="S30" t="s">
        <v>59</v>
      </c>
      <c r="T30" s="11">
        <v>324000</v>
      </c>
      <c r="U30" s="11">
        <v>9066.1</v>
      </c>
      <c r="V30" s="11">
        <v>314933.90000000002</v>
      </c>
      <c r="W30" s="11">
        <v>3000</v>
      </c>
      <c r="X30" s="11">
        <v>311933.90000000002</v>
      </c>
      <c r="Y30" s="12">
        <v>5</v>
      </c>
      <c r="Z30" t="s">
        <v>48</v>
      </c>
    </row>
    <row r="31" spans="1:26" x14ac:dyDescent="0.2">
      <c r="A31" s="9">
        <v>45086</v>
      </c>
      <c r="B31" s="9" t="str">
        <f t="shared" si="0"/>
        <v>Friday</v>
      </c>
      <c r="C31" t="s">
        <v>69</v>
      </c>
      <c r="D31" t="s">
        <v>79</v>
      </c>
      <c r="E31" t="s">
        <v>27</v>
      </c>
      <c r="G31" t="s">
        <v>90</v>
      </c>
      <c r="H31" s="10">
        <v>0.58333333333333337</v>
      </c>
      <c r="I31" s="10">
        <v>0.92847222222222225</v>
      </c>
      <c r="J31">
        <v>780</v>
      </c>
      <c r="K31">
        <v>14</v>
      </c>
      <c r="L31" t="s">
        <v>29</v>
      </c>
      <c r="M31" s="11">
        <v>19000</v>
      </c>
      <c r="N31" t="s">
        <v>68</v>
      </c>
      <c r="O31">
        <v>18</v>
      </c>
      <c r="P31">
        <v>96.67</v>
      </c>
      <c r="Q31" s="11">
        <v>170</v>
      </c>
      <c r="R31">
        <v>9</v>
      </c>
      <c r="S31" t="s">
        <v>38</v>
      </c>
      <c r="T31" s="11">
        <v>266000</v>
      </c>
      <c r="U31" s="11">
        <v>16433.900000000001</v>
      </c>
      <c r="V31" s="11">
        <v>249566.1</v>
      </c>
      <c r="W31" s="11">
        <v>3000</v>
      </c>
      <c r="X31" s="11">
        <v>246566.1</v>
      </c>
      <c r="Y31" s="12">
        <v>1</v>
      </c>
      <c r="Z31" t="s">
        <v>44</v>
      </c>
    </row>
    <row r="32" spans="1:26" x14ac:dyDescent="0.2">
      <c r="A32" s="9">
        <v>45087</v>
      </c>
      <c r="B32" s="9" t="str">
        <f t="shared" si="0"/>
        <v>Saturday</v>
      </c>
      <c r="C32" t="s">
        <v>73</v>
      </c>
      <c r="D32" t="s">
        <v>35</v>
      </c>
      <c r="E32" t="s">
        <v>26</v>
      </c>
      <c r="G32" t="s">
        <v>91</v>
      </c>
      <c r="H32" s="10">
        <v>0.54166666666666663</v>
      </c>
      <c r="I32" s="10">
        <v>0.91111111111111109</v>
      </c>
      <c r="J32">
        <v>670</v>
      </c>
      <c r="K32">
        <v>18</v>
      </c>
      <c r="L32" t="s">
        <v>42</v>
      </c>
      <c r="M32" s="11">
        <v>15000</v>
      </c>
      <c r="N32" t="s">
        <v>55</v>
      </c>
      <c r="O32">
        <v>18</v>
      </c>
      <c r="P32">
        <v>112.5</v>
      </c>
      <c r="Q32" s="11">
        <v>170</v>
      </c>
      <c r="R32">
        <v>3</v>
      </c>
      <c r="S32" t="s">
        <v>38</v>
      </c>
      <c r="T32" s="11">
        <v>270000</v>
      </c>
      <c r="U32" s="11">
        <v>19125</v>
      </c>
      <c r="V32" s="11">
        <v>250875</v>
      </c>
      <c r="W32" s="11">
        <v>3000</v>
      </c>
      <c r="X32" s="11">
        <v>247875</v>
      </c>
      <c r="Y32" s="12">
        <v>2</v>
      </c>
      <c r="Z32" t="s">
        <v>60</v>
      </c>
    </row>
    <row r="33" spans="1:26" x14ac:dyDescent="0.2">
      <c r="A33" s="9">
        <v>45089</v>
      </c>
      <c r="B33" s="9" t="str">
        <f t="shared" si="0"/>
        <v>Monday</v>
      </c>
      <c r="C33" t="s">
        <v>45</v>
      </c>
      <c r="D33" t="s">
        <v>46</v>
      </c>
      <c r="E33" t="s">
        <v>34</v>
      </c>
      <c r="G33" t="s">
        <v>47</v>
      </c>
      <c r="H33" s="10">
        <v>0.58333333333333337</v>
      </c>
      <c r="I33" s="10">
        <v>0.79444444444444451</v>
      </c>
      <c r="J33">
        <v>780</v>
      </c>
      <c r="K33">
        <v>14</v>
      </c>
      <c r="L33" t="s">
        <v>29</v>
      </c>
      <c r="M33" s="11">
        <v>17000</v>
      </c>
      <c r="N33" t="s">
        <v>68</v>
      </c>
      <c r="O33">
        <v>18</v>
      </c>
      <c r="P33">
        <v>96.67</v>
      </c>
      <c r="Q33" s="11">
        <v>170</v>
      </c>
      <c r="R33">
        <v>48</v>
      </c>
      <c r="S33" t="s">
        <v>56</v>
      </c>
      <c r="T33" s="11">
        <v>238000</v>
      </c>
      <c r="U33" s="11">
        <v>16433.900000000001</v>
      </c>
      <c r="V33" s="11">
        <v>221566.1</v>
      </c>
      <c r="W33" s="11">
        <v>3000</v>
      </c>
      <c r="X33" s="11">
        <v>218566.1</v>
      </c>
      <c r="Y33" s="12">
        <v>3</v>
      </c>
      <c r="Z33" t="s">
        <v>51</v>
      </c>
    </row>
    <row r="34" spans="1:26" x14ac:dyDescent="0.2">
      <c r="A34" s="9">
        <v>45093</v>
      </c>
      <c r="B34" s="9" t="str">
        <f t="shared" si="0"/>
        <v>Friday</v>
      </c>
      <c r="C34" t="s">
        <v>49</v>
      </c>
      <c r="D34" t="s">
        <v>40</v>
      </c>
      <c r="E34" t="s">
        <v>46</v>
      </c>
      <c r="G34" t="s">
        <v>92</v>
      </c>
      <c r="H34" s="10">
        <v>0.25</v>
      </c>
      <c r="I34" s="10">
        <v>0.67708333333333326</v>
      </c>
      <c r="J34">
        <v>360</v>
      </c>
      <c r="K34">
        <v>15</v>
      </c>
      <c r="L34" t="s">
        <v>29</v>
      </c>
      <c r="M34" s="11">
        <v>8000</v>
      </c>
      <c r="N34" t="s">
        <v>72</v>
      </c>
      <c r="O34">
        <v>18</v>
      </c>
      <c r="P34">
        <v>75</v>
      </c>
      <c r="Q34" s="11">
        <v>170</v>
      </c>
      <c r="R34">
        <v>41</v>
      </c>
      <c r="S34" t="s">
        <v>31</v>
      </c>
      <c r="T34" s="11">
        <v>120000</v>
      </c>
      <c r="U34" s="11">
        <v>12750</v>
      </c>
      <c r="V34" s="11">
        <v>107250</v>
      </c>
      <c r="W34" s="11">
        <v>3000</v>
      </c>
      <c r="X34" s="11">
        <v>104250</v>
      </c>
      <c r="Y34" s="12">
        <v>5</v>
      </c>
      <c r="Z34" t="s">
        <v>48</v>
      </c>
    </row>
    <row r="35" spans="1:26" x14ac:dyDescent="0.2">
      <c r="A35" s="9">
        <v>45093</v>
      </c>
      <c r="B35" s="9" t="str">
        <f t="shared" si="0"/>
        <v>Friday</v>
      </c>
      <c r="C35" t="s">
        <v>25</v>
      </c>
      <c r="D35" t="s">
        <v>26</v>
      </c>
      <c r="E35" t="s">
        <v>46</v>
      </c>
      <c r="G35" t="s">
        <v>93</v>
      </c>
      <c r="H35" s="10">
        <v>0.625</v>
      </c>
      <c r="I35" s="10">
        <v>0.83750000000000002</v>
      </c>
      <c r="J35">
        <v>740</v>
      </c>
      <c r="K35">
        <v>13</v>
      </c>
      <c r="L35" t="s">
        <v>29</v>
      </c>
      <c r="M35" s="11">
        <v>19000</v>
      </c>
      <c r="N35" t="s">
        <v>76</v>
      </c>
      <c r="O35">
        <v>18</v>
      </c>
      <c r="P35">
        <v>48.33</v>
      </c>
      <c r="Q35" s="11">
        <v>170</v>
      </c>
      <c r="R35">
        <v>50</v>
      </c>
      <c r="S35" t="s">
        <v>38</v>
      </c>
      <c r="T35" s="11">
        <v>247000</v>
      </c>
      <c r="U35" s="11">
        <v>8216.1</v>
      </c>
      <c r="V35" s="11">
        <v>238783.9</v>
      </c>
      <c r="W35" s="11">
        <v>3000</v>
      </c>
      <c r="X35" s="11">
        <v>235783.9</v>
      </c>
      <c r="Y35" s="12">
        <v>3</v>
      </c>
      <c r="Z35" t="s">
        <v>51</v>
      </c>
    </row>
    <row r="36" spans="1:26" x14ac:dyDescent="0.2">
      <c r="A36" s="9">
        <v>45094</v>
      </c>
      <c r="B36" s="9" t="str">
        <f t="shared" si="0"/>
        <v>Saturday</v>
      </c>
      <c r="C36" t="s">
        <v>39</v>
      </c>
      <c r="D36" t="s">
        <v>40</v>
      </c>
      <c r="E36" t="s">
        <v>79</v>
      </c>
      <c r="G36" t="s">
        <v>88</v>
      </c>
      <c r="H36" s="10">
        <v>0.14583333333333334</v>
      </c>
      <c r="I36" s="10">
        <v>0.52500000000000002</v>
      </c>
      <c r="J36">
        <v>200</v>
      </c>
      <c r="K36">
        <v>14</v>
      </c>
      <c r="L36" t="s">
        <v>29</v>
      </c>
      <c r="M36" s="11">
        <v>4000</v>
      </c>
      <c r="N36" t="s">
        <v>68</v>
      </c>
      <c r="O36">
        <v>18</v>
      </c>
      <c r="P36">
        <v>103.33</v>
      </c>
      <c r="Q36" s="11">
        <v>170</v>
      </c>
      <c r="R36">
        <v>3</v>
      </c>
      <c r="S36" t="s">
        <v>31</v>
      </c>
      <c r="T36" s="11">
        <v>56000</v>
      </c>
      <c r="U36" s="11">
        <v>17566.099999999999</v>
      </c>
      <c r="V36" s="11">
        <v>38433.9</v>
      </c>
      <c r="W36" s="11">
        <v>3000</v>
      </c>
      <c r="X36" s="11">
        <v>35433.9</v>
      </c>
      <c r="Y36" s="12">
        <v>5</v>
      </c>
      <c r="Z36" t="s">
        <v>48</v>
      </c>
    </row>
    <row r="37" spans="1:26" x14ac:dyDescent="0.2">
      <c r="A37" s="9">
        <v>45098</v>
      </c>
      <c r="B37" s="9" t="str">
        <f t="shared" si="0"/>
        <v>Wednesday</v>
      </c>
      <c r="C37" t="s">
        <v>94</v>
      </c>
      <c r="D37" t="s">
        <v>53</v>
      </c>
      <c r="E37" t="s">
        <v>40</v>
      </c>
      <c r="G37" t="s">
        <v>95</v>
      </c>
      <c r="H37" s="10">
        <v>0.16666666666666666</v>
      </c>
      <c r="I37" s="10">
        <v>0.44444444444444442</v>
      </c>
      <c r="J37">
        <v>200</v>
      </c>
      <c r="K37">
        <v>14</v>
      </c>
      <c r="L37" t="s">
        <v>29</v>
      </c>
      <c r="M37" s="11">
        <v>5000</v>
      </c>
      <c r="N37" t="s">
        <v>63</v>
      </c>
      <c r="O37">
        <v>18</v>
      </c>
      <c r="P37">
        <v>102.5</v>
      </c>
      <c r="Q37" s="11">
        <v>170</v>
      </c>
      <c r="R37">
        <v>1</v>
      </c>
      <c r="S37" t="s">
        <v>59</v>
      </c>
      <c r="T37" s="11">
        <v>70000</v>
      </c>
      <c r="U37" s="11">
        <v>17425</v>
      </c>
      <c r="V37" s="11">
        <v>52575</v>
      </c>
      <c r="W37" s="11">
        <v>3000</v>
      </c>
      <c r="X37" s="11">
        <v>49575</v>
      </c>
      <c r="Y37" s="12">
        <v>4</v>
      </c>
      <c r="Z37" t="s">
        <v>32</v>
      </c>
    </row>
    <row r="38" spans="1:26" x14ac:dyDescent="0.2">
      <c r="A38" s="9">
        <v>45098</v>
      </c>
      <c r="B38" s="9" t="str">
        <f t="shared" si="0"/>
        <v>Wednesday</v>
      </c>
      <c r="C38" t="s">
        <v>57</v>
      </c>
      <c r="D38" t="s">
        <v>34</v>
      </c>
      <c r="E38" t="s">
        <v>46</v>
      </c>
      <c r="G38" t="s">
        <v>96</v>
      </c>
      <c r="H38" s="10">
        <v>0.25</v>
      </c>
      <c r="I38" s="10">
        <v>0.59027777777777779</v>
      </c>
      <c r="J38">
        <v>360</v>
      </c>
      <c r="K38">
        <v>18</v>
      </c>
      <c r="L38" t="s">
        <v>42</v>
      </c>
      <c r="M38" s="11">
        <v>7000</v>
      </c>
      <c r="N38" t="s">
        <v>43</v>
      </c>
      <c r="O38">
        <v>18</v>
      </c>
      <c r="P38">
        <v>96.67</v>
      </c>
      <c r="Q38" s="11">
        <v>170</v>
      </c>
      <c r="R38">
        <v>36</v>
      </c>
      <c r="S38" t="s">
        <v>59</v>
      </c>
      <c r="T38" s="11">
        <v>126000</v>
      </c>
      <c r="U38" s="11">
        <v>16433.900000000001</v>
      </c>
      <c r="V38" s="11">
        <v>109566.1</v>
      </c>
      <c r="W38" s="11">
        <v>3000</v>
      </c>
      <c r="X38" s="11">
        <v>106566.1</v>
      </c>
      <c r="Y38" s="12">
        <v>1</v>
      </c>
      <c r="Z38" t="s">
        <v>44</v>
      </c>
    </row>
    <row r="39" spans="1:26" x14ac:dyDescent="0.2">
      <c r="A39" s="9">
        <v>45099</v>
      </c>
      <c r="B39" s="9" t="str">
        <f t="shared" si="0"/>
        <v>Thursday</v>
      </c>
      <c r="C39" t="s">
        <v>39</v>
      </c>
      <c r="D39" t="s">
        <v>34</v>
      </c>
      <c r="E39" t="s">
        <v>53</v>
      </c>
      <c r="G39" t="s">
        <v>97</v>
      </c>
      <c r="H39" s="10">
        <v>0.45833333333333331</v>
      </c>
      <c r="I39" s="10">
        <v>0.875</v>
      </c>
      <c r="J39">
        <v>560</v>
      </c>
      <c r="K39">
        <v>17</v>
      </c>
      <c r="L39" t="s">
        <v>29</v>
      </c>
      <c r="M39" s="11">
        <v>13000</v>
      </c>
      <c r="N39" t="s">
        <v>63</v>
      </c>
      <c r="O39">
        <v>18</v>
      </c>
      <c r="P39">
        <v>108.33</v>
      </c>
      <c r="Q39" s="11">
        <v>170</v>
      </c>
      <c r="R39">
        <v>6</v>
      </c>
      <c r="S39" t="s">
        <v>38</v>
      </c>
      <c r="T39" s="11">
        <v>221000</v>
      </c>
      <c r="U39" s="11">
        <v>18416.099999999999</v>
      </c>
      <c r="V39" s="11">
        <v>202583.9</v>
      </c>
      <c r="W39" s="11">
        <v>3000</v>
      </c>
      <c r="X39" s="11">
        <v>199583.9</v>
      </c>
      <c r="Y39" s="12">
        <v>1</v>
      </c>
      <c r="Z39" t="s">
        <v>44</v>
      </c>
    </row>
    <row r="40" spans="1:26" x14ac:dyDescent="0.2">
      <c r="A40" s="9">
        <v>45099</v>
      </c>
      <c r="B40" s="9" t="str">
        <f t="shared" si="0"/>
        <v>Thursday</v>
      </c>
      <c r="C40" t="s">
        <v>69</v>
      </c>
      <c r="D40" t="s">
        <v>79</v>
      </c>
      <c r="E40" t="s">
        <v>35</v>
      </c>
      <c r="G40" t="s">
        <v>98</v>
      </c>
      <c r="H40" s="10">
        <v>0.29166666666666669</v>
      </c>
      <c r="I40" s="10">
        <v>0.70555555555555549</v>
      </c>
      <c r="J40">
        <v>400</v>
      </c>
      <c r="K40">
        <v>13</v>
      </c>
      <c r="L40" t="s">
        <v>42</v>
      </c>
      <c r="M40" s="11">
        <v>8000</v>
      </c>
      <c r="N40" t="s">
        <v>63</v>
      </c>
      <c r="O40">
        <v>18</v>
      </c>
      <c r="P40">
        <v>143.33000000000001</v>
      </c>
      <c r="Q40" s="11">
        <v>170</v>
      </c>
      <c r="R40">
        <v>33</v>
      </c>
      <c r="S40" t="s">
        <v>56</v>
      </c>
      <c r="T40" s="11">
        <v>104000</v>
      </c>
      <c r="U40" s="11">
        <v>24366.100000000002</v>
      </c>
      <c r="V40" s="11">
        <v>79633.899999999994</v>
      </c>
      <c r="W40" s="11">
        <v>3000</v>
      </c>
      <c r="X40" s="11">
        <v>76633.899999999994</v>
      </c>
      <c r="Y40" s="12">
        <v>2</v>
      </c>
      <c r="Z40" t="s">
        <v>60</v>
      </c>
    </row>
    <row r="41" spans="1:26" x14ac:dyDescent="0.2">
      <c r="A41" s="9">
        <v>45099</v>
      </c>
      <c r="B41" s="9" t="str">
        <f t="shared" si="0"/>
        <v>Thursday</v>
      </c>
      <c r="C41" t="s">
        <v>84</v>
      </c>
      <c r="D41" t="s">
        <v>53</v>
      </c>
      <c r="E41" t="s">
        <v>34</v>
      </c>
      <c r="G41" t="s">
        <v>99</v>
      </c>
      <c r="H41" s="10">
        <v>0.66666666666666663</v>
      </c>
      <c r="I41" s="10">
        <v>1.0784722222222221</v>
      </c>
      <c r="J41">
        <v>900</v>
      </c>
      <c r="K41">
        <v>14</v>
      </c>
      <c r="L41" t="s">
        <v>29</v>
      </c>
      <c r="M41" s="11">
        <v>23000</v>
      </c>
      <c r="N41" t="s">
        <v>30</v>
      </c>
      <c r="O41">
        <v>18</v>
      </c>
      <c r="P41">
        <v>108.33</v>
      </c>
      <c r="Q41" s="11">
        <v>170</v>
      </c>
      <c r="R41">
        <v>12</v>
      </c>
      <c r="S41" t="s">
        <v>31</v>
      </c>
      <c r="T41" s="11">
        <v>322000</v>
      </c>
      <c r="U41" s="11">
        <v>18416.099999999999</v>
      </c>
      <c r="V41" s="11">
        <v>303583.90000000002</v>
      </c>
      <c r="W41" s="11">
        <v>3000</v>
      </c>
      <c r="X41" s="11">
        <v>300583.90000000002</v>
      </c>
      <c r="Y41" s="12">
        <v>2</v>
      </c>
      <c r="Z41" t="s">
        <v>60</v>
      </c>
    </row>
    <row r="42" spans="1:26" x14ac:dyDescent="0.2">
      <c r="A42" s="9">
        <v>45099</v>
      </c>
      <c r="B42" s="9" t="str">
        <f t="shared" si="0"/>
        <v>Thursday</v>
      </c>
      <c r="C42" t="s">
        <v>57</v>
      </c>
      <c r="D42" t="s">
        <v>40</v>
      </c>
      <c r="E42" t="s">
        <v>53</v>
      </c>
      <c r="G42" t="s">
        <v>70</v>
      </c>
      <c r="H42" s="10">
        <v>0.25</v>
      </c>
      <c r="I42" s="10">
        <v>0.62430555555555556</v>
      </c>
      <c r="J42">
        <v>270</v>
      </c>
      <c r="K42">
        <v>16</v>
      </c>
      <c r="L42" t="s">
        <v>29</v>
      </c>
      <c r="M42" s="11">
        <v>7000</v>
      </c>
      <c r="N42" t="s">
        <v>76</v>
      </c>
      <c r="O42">
        <v>18</v>
      </c>
      <c r="P42">
        <v>102.5</v>
      </c>
      <c r="Q42" s="11">
        <v>170</v>
      </c>
      <c r="R42">
        <v>3</v>
      </c>
      <c r="S42" t="s">
        <v>38</v>
      </c>
      <c r="T42" s="11">
        <v>112000</v>
      </c>
      <c r="U42" s="11">
        <v>17425</v>
      </c>
      <c r="V42" s="11">
        <v>94575</v>
      </c>
      <c r="W42" s="11">
        <v>3000</v>
      </c>
      <c r="X42" s="11">
        <v>91575</v>
      </c>
      <c r="Y42" s="12">
        <v>3</v>
      </c>
      <c r="Z42" t="s">
        <v>51</v>
      </c>
    </row>
    <row r="43" spans="1:26" x14ac:dyDescent="0.2">
      <c r="A43" s="9">
        <v>45099</v>
      </c>
      <c r="B43" s="9" t="str">
        <f t="shared" si="0"/>
        <v>Thursday</v>
      </c>
      <c r="C43" t="s">
        <v>73</v>
      </c>
      <c r="D43" t="s">
        <v>35</v>
      </c>
      <c r="E43" t="s">
        <v>27</v>
      </c>
      <c r="G43" t="s">
        <v>100</v>
      </c>
      <c r="H43" s="10">
        <v>0.125</v>
      </c>
      <c r="I43" s="10">
        <v>0.45</v>
      </c>
      <c r="J43">
        <v>130</v>
      </c>
      <c r="K43">
        <v>13</v>
      </c>
      <c r="L43" t="s">
        <v>42</v>
      </c>
      <c r="M43" s="11">
        <v>3000</v>
      </c>
      <c r="N43" t="s">
        <v>37</v>
      </c>
      <c r="O43">
        <v>18</v>
      </c>
      <c r="P43">
        <v>51</v>
      </c>
      <c r="Q43" s="11">
        <v>170</v>
      </c>
      <c r="R43">
        <v>41</v>
      </c>
      <c r="S43" t="s">
        <v>56</v>
      </c>
      <c r="T43" s="11">
        <v>39000</v>
      </c>
      <c r="U43" s="11">
        <v>8670</v>
      </c>
      <c r="V43" s="11">
        <v>30330</v>
      </c>
      <c r="W43" s="11">
        <v>3000</v>
      </c>
      <c r="X43" s="11">
        <v>27330</v>
      </c>
      <c r="Y43" s="12">
        <v>2</v>
      </c>
      <c r="Z43" t="s">
        <v>60</v>
      </c>
    </row>
    <row r="44" spans="1:26" x14ac:dyDescent="0.2">
      <c r="A44" s="9">
        <v>45100</v>
      </c>
      <c r="B44" s="9" t="str">
        <f t="shared" si="0"/>
        <v>Friday</v>
      </c>
      <c r="C44" t="s">
        <v>49</v>
      </c>
      <c r="D44" t="s">
        <v>53</v>
      </c>
      <c r="E44" t="s">
        <v>40</v>
      </c>
      <c r="G44" t="s">
        <v>95</v>
      </c>
      <c r="H44" s="10">
        <v>0.5</v>
      </c>
      <c r="I44" s="10">
        <v>0.83055555555555549</v>
      </c>
      <c r="J44">
        <v>670</v>
      </c>
      <c r="K44">
        <v>14</v>
      </c>
      <c r="L44" t="s">
        <v>42</v>
      </c>
      <c r="M44" s="11">
        <v>18000</v>
      </c>
      <c r="N44" t="s">
        <v>66</v>
      </c>
      <c r="O44">
        <v>18</v>
      </c>
      <c r="P44">
        <v>102.5</v>
      </c>
      <c r="Q44" s="11">
        <v>170</v>
      </c>
      <c r="R44">
        <v>38</v>
      </c>
      <c r="S44" t="s">
        <v>38</v>
      </c>
      <c r="T44" s="11">
        <v>252000</v>
      </c>
      <c r="U44" s="11">
        <v>17425</v>
      </c>
      <c r="V44" s="11">
        <v>234575</v>
      </c>
      <c r="W44" s="11">
        <v>3000</v>
      </c>
      <c r="X44" s="11">
        <v>231575</v>
      </c>
      <c r="Y44" s="12">
        <v>5</v>
      </c>
      <c r="Z44" t="s">
        <v>48</v>
      </c>
    </row>
    <row r="45" spans="1:26" x14ac:dyDescent="0.2">
      <c r="A45" s="9">
        <v>45101</v>
      </c>
      <c r="B45" s="9" t="str">
        <f t="shared" si="0"/>
        <v>Saturday</v>
      </c>
      <c r="C45" t="s">
        <v>64</v>
      </c>
      <c r="D45" t="s">
        <v>40</v>
      </c>
      <c r="E45" t="s">
        <v>27</v>
      </c>
      <c r="G45" t="s">
        <v>101</v>
      </c>
      <c r="H45" s="10">
        <v>0.5</v>
      </c>
      <c r="I45" s="10">
        <v>0.85972222222222228</v>
      </c>
      <c r="J45">
        <v>590</v>
      </c>
      <c r="K45">
        <v>13</v>
      </c>
      <c r="L45" t="s">
        <v>42</v>
      </c>
      <c r="M45" s="11">
        <v>16000</v>
      </c>
      <c r="N45" t="s">
        <v>37</v>
      </c>
      <c r="O45">
        <v>18</v>
      </c>
      <c r="P45">
        <v>98.33</v>
      </c>
      <c r="Q45" s="11">
        <v>170</v>
      </c>
      <c r="R45">
        <v>52</v>
      </c>
      <c r="S45" t="s">
        <v>38</v>
      </c>
      <c r="T45" s="11">
        <v>208000</v>
      </c>
      <c r="U45" s="11">
        <v>16716.099999999999</v>
      </c>
      <c r="V45" s="11">
        <v>191283.9</v>
      </c>
      <c r="W45" s="11">
        <v>3000</v>
      </c>
      <c r="X45" s="11">
        <v>188283.9</v>
      </c>
      <c r="Y45" s="12">
        <v>3</v>
      </c>
      <c r="Z45" t="s">
        <v>51</v>
      </c>
    </row>
    <row r="46" spans="1:26" x14ac:dyDescent="0.2">
      <c r="A46" s="9">
        <v>45101</v>
      </c>
      <c r="B46" s="9" t="str">
        <f t="shared" si="0"/>
        <v>Saturday</v>
      </c>
      <c r="C46" t="s">
        <v>57</v>
      </c>
      <c r="D46" t="s">
        <v>46</v>
      </c>
      <c r="E46" t="s">
        <v>34</v>
      </c>
      <c r="G46" t="s">
        <v>47</v>
      </c>
      <c r="H46" s="10">
        <v>0.45833333333333331</v>
      </c>
      <c r="I46" s="10">
        <v>0.81111111111111112</v>
      </c>
      <c r="J46">
        <v>600</v>
      </c>
      <c r="K46">
        <v>16</v>
      </c>
      <c r="L46" t="s">
        <v>42</v>
      </c>
      <c r="M46" s="11">
        <v>15000</v>
      </c>
      <c r="N46" t="s">
        <v>63</v>
      </c>
      <c r="O46">
        <v>18</v>
      </c>
      <c r="P46">
        <v>96.67</v>
      </c>
      <c r="Q46" s="11">
        <v>170</v>
      </c>
      <c r="R46">
        <v>40</v>
      </c>
      <c r="S46" t="s">
        <v>38</v>
      </c>
      <c r="T46" s="11">
        <v>240000</v>
      </c>
      <c r="U46" s="11">
        <v>16433.900000000001</v>
      </c>
      <c r="V46" s="11">
        <v>223566.1</v>
      </c>
      <c r="W46" s="11">
        <v>3000</v>
      </c>
      <c r="X46" s="11">
        <v>220566.1</v>
      </c>
      <c r="Y46" s="12">
        <v>5</v>
      </c>
      <c r="Z46" t="s">
        <v>48</v>
      </c>
    </row>
    <row r="47" spans="1:26" x14ac:dyDescent="0.2">
      <c r="A47" s="9">
        <v>45101</v>
      </c>
      <c r="B47" s="9" t="str">
        <f t="shared" si="0"/>
        <v>Saturday</v>
      </c>
      <c r="C47" t="s">
        <v>33</v>
      </c>
      <c r="D47" t="s">
        <v>40</v>
      </c>
      <c r="E47" t="s">
        <v>79</v>
      </c>
      <c r="G47" t="s">
        <v>88</v>
      </c>
      <c r="H47" s="10">
        <v>0.41666666666666669</v>
      </c>
      <c r="I47" s="10">
        <v>0.70972222222222225</v>
      </c>
      <c r="J47">
        <v>470</v>
      </c>
      <c r="K47">
        <v>18</v>
      </c>
      <c r="L47" t="s">
        <v>29</v>
      </c>
      <c r="M47" s="11">
        <v>18000</v>
      </c>
      <c r="N47" t="s">
        <v>66</v>
      </c>
      <c r="O47">
        <v>18</v>
      </c>
      <c r="P47">
        <v>103.33</v>
      </c>
      <c r="Q47" s="11">
        <v>170</v>
      </c>
      <c r="R47">
        <v>24</v>
      </c>
      <c r="S47" t="s">
        <v>31</v>
      </c>
      <c r="T47" s="11">
        <v>324000</v>
      </c>
      <c r="U47" s="11">
        <v>17566.099999999999</v>
      </c>
      <c r="V47" s="11">
        <v>306433.90000000002</v>
      </c>
      <c r="W47" s="11">
        <v>3000</v>
      </c>
      <c r="X47" s="11">
        <v>303433.90000000002</v>
      </c>
      <c r="Y47" s="12">
        <v>3</v>
      </c>
      <c r="Z47" t="s">
        <v>51</v>
      </c>
    </row>
    <row r="48" spans="1:26" x14ac:dyDescent="0.2">
      <c r="A48" s="9">
        <v>45103</v>
      </c>
      <c r="B48" s="9" t="str">
        <f t="shared" si="0"/>
        <v>Monday</v>
      </c>
      <c r="C48" t="s">
        <v>57</v>
      </c>
      <c r="D48" t="s">
        <v>27</v>
      </c>
      <c r="E48" t="s">
        <v>46</v>
      </c>
      <c r="G48" t="s">
        <v>83</v>
      </c>
      <c r="H48" s="10">
        <v>0.25</v>
      </c>
      <c r="I48" s="10">
        <v>0.47777777777777775</v>
      </c>
      <c r="J48">
        <v>250</v>
      </c>
      <c r="K48">
        <v>15</v>
      </c>
      <c r="L48" t="s">
        <v>42</v>
      </c>
      <c r="M48" s="11">
        <v>10000</v>
      </c>
      <c r="N48" t="s">
        <v>72</v>
      </c>
      <c r="O48">
        <v>18</v>
      </c>
      <c r="P48">
        <v>83.33</v>
      </c>
      <c r="Q48" s="11">
        <v>170</v>
      </c>
      <c r="R48">
        <v>19</v>
      </c>
      <c r="S48" t="s">
        <v>31</v>
      </c>
      <c r="T48" s="11">
        <v>150000</v>
      </c>
      <c r="U48" s="11">
        <v>14166.1</v>
      </c>
      <c r="V48" s="11">
        <v>135833.9</v>
      </c>
      <c r="W48" s="11">
        <v>3000</v>
      </c>
      <c r="X48" s="11">
        <v>132833.9</v>
      </c>
      <c r="Y48" s="12">
        <v>3</v>
      </c>
      <c r="Z48" t="s">
        <v>51</v>
      </c>
    </row>
    <row r="49" spans="1:26" x14ac:dyDescent="0.2">
      <c r="A49" s="9">
        <v>45104</v>
      </c>
      <c r="B49" s="9" t="str">
        <f t="shared" si="0"/>
        <v>Tuesday</v>
      </c>
      <c r="C49" t="s">
        <v>57</v>
      </c>
      <c r="D49" t="s">
        <v>46</v>
      </c>
      <c r="E49" t="s">
        <v>53</v>
      </c>
      <c r="G49" t="s">
        <v>89</v>
      </c>
      <c r="H49" s="10">
        <v>0.16666666666666666</v>
      </c>
      <c r="I49" s="10">
        <v>0.60486111111111107</v>
      </c>
      <c r="J49">
        <v>320</v>
      </c>
      <c r="K49">
        <v>14</v>
      </c>
      <c r="L49" t="s">
        <v>42</v>
      </c>
      <c r="M49" s="11">
        <v>5500</v>
      </c>
      <c r="N49" t="s">
        <v>63</v>
      </c>
      <c r="O49">
        <v>18</v>
      </c>
      <c r="P49">
        <v>53.33</v>
      </c>
      <c r="Q49" s="11">
        <v>170</v>
      </c>
      <c r="R49">
        <v>16</v>
      </c>
      <c r="S49" t="s">
        <v>56</v>
      </c>
      <c r="T49" s="11">
        <v>77000</v>
      </c>
      <c r="U49" s="11">
        <v>9066.1</v>
      </c>
      <c r="V49" s="11">
        <v>67933.899999999994</v>
      </c>
      <c r="W49" s="11">
        <v>3000</v>
      </c>
      <c r="X49" s="11">
        <v>64933.899999999994</v>
      </c>
      <c r="Y49" s="12">
        <v>3</v>
      </c>
      <c r="Z49" t="s">
        <v>51</v>
      </c>
    </row>
    <row r="50" spans="1:26" x14ac:dyDescent="0.2">
      <c r="A50" s="9">
        <v>45104</v>
      </c>
      <c r="B50" s="9" t="str">
        <f t="shared" si="0"/>
        <v>Tuesday</v>
      </c>
      <c r="C50" t="s">
        <v>25</v>
      </c>
      <c r="D50" t="s">
        <v>26</v>
      </c>
      <c r="E50" t="s">
        <v>46</v>
      </c>
      <c r="G50" t="s">
        <v>93</v>
      </c>
      <c r="H50" s="10">
        <v>0.15138888888888888</v>
      </c>
      <c r="I50" s="10">
        <v>0.55486111111111114</v>
      </c>
      <c r="J50">
        <v>380</v>
      </c>
      <c r="K50">
        <v>13</v>
      </c>
      <c r="L50" t="s">
        <v>29</v>
      </c>
      <c r="M50" s="11">
        <v>7000</v>
      </c>
      <c r="N50" t="s">
        <v>72</v>
      </c>
      <c r="O50">
        <v>18</v>
      </c>
      <c r="P50">
        <v>48.33</v>
      </c>
      <c r="Q50" s="11">
        <v>170</v>
      </c>
      <c r="R50">
        <v>3</v>
      </c>
      <c r="S50" t="s">
        <v>56</v>
      </c>
      <c r="T50" s="11">
        <v>91000</v>
      </c>
      <c r="U50" s="11">
        <v>8216.1</v>
      </c>
      <c r="V50" s="11">
        <v>82783.899999999994</v>
      </c>
      <c r="W50" s="11">
        <v>3000</v>
      </c>
      <c r="X50" s="11">
        <v>79783.899999999994</v>
      </c>
      <c r="Y50" s="12">
        <v>3</v>
      </c>
      <c r="Z50" t="s">
        <v>51</v>
      </c>
    </row>
    <row r="51" spans="1:26" x14ac:dyDescent="0.2">
      <c r="A51" s="9">
        <v>45106</v>
      </c>
      <c r="B51" s="9" t="str">
        <f t="shared" si="0"/>
        <v>Thursday</v>
      </c>
      <c r="C51" t="s">
        <v>73</v>
      </c>
      <c r="D51" t="s">
        <v>40</v>
      </c>
      <c r="E51" t="s">
        <v>53</v>
      </c>
      <c r="G51" t="s">
        <v>70</v>
      </c>
      <c r="H51" s="10">
        <v>0.32013888888888886</v>
      </c>
      <c r="I51" s="10">
        <v>0.60138888888888886</v>
      </c>
      <c r="J51">
        <v>600</v>
      </c>
      <c r="K51">
        <v>18</v>
      </c>
      <c r="L51" t="s">
        <v>29</v>
      </c>
      <c r="M51" s="11">
        <v>12000</v>
      </c>
      <c r="N51" t="s">
        <v>85</v>
      </c>
      <c r="O51">
        <v>18</v>
      </c>
      <c r="P51">
        <v>102.5</v>
      </c>
      <c r="Q51" s="11">
        <v>170</v>
      </c>
      <c r="R51">
        <v>59</v>
      </c>
      <c r="S51" t="s">
        <v>38</v>
      </c>
      <c r="T51" s="11">
        <v>216000</v>
      </c>
      <c r="U51" s="11">
        <v>17425</v>
      </c>
      <c r="V51" s="11">
        <v>198575</v>
      </c>
      <c r="W51" s="11">
        <v>3000</v>
      </c>
      <c r="X51" s="11">
        <v>195575</v>
      </c>
      <c r="Y51" s="12">
        <v>5</v>
      </c>
      <c r="Z51" t="s">
        <v>48</v>
      </c>
    </row>
    <row r="52" spans="1:26" x14ac:dyDescent="0.2">
      <c r="A52" s="9">
        <v>45107</v>
      </c>
      <c r="B52" s="9" t="str">
        <f t="shared" si="0"/>
        <v>Friday</v>
      </c>
      <c r="C52" t="s">
        <v>25</v>
      </c>
      <c r="D52" t="s">
        <v>26</v>
      </c>
      <c r="E52" t="s">
        <v>53</v>
      </c>
      <c r="G52" t="s">
        <v>75</v>
      </c>
      <c r="H52" s="10">
        <v>0.27638888888888891</v>
      </c>
      <c r="I52" s="10">
        <v>0.65138888888888891</v>
      </c>
      <c r="J52">
        <v>560</v>
      </c>
      <c r="K52">
        <v>14</v>
      </c>
      <c r="L52" t="s">
        <v>29</v>
      </c>
      <c r="M52" s="11">
        <v>12000</v>
      </c>
      <c r="N52" t="s">
        <v>37</v>
      </c>
      <c r="O52">
        <v>18</v>
      </c>
      <c r="P52">
        <v>88.33</v>
      </c>
      <c r="Q52" s="11">
        <v>170</v>
      </c>
      <c r="R52">
        <v>53</v>
      </c>
      <c r="S52" t="s">
        <v>31</v>
      </c>
      <c r="T52" s="11">
        <v>168000</v>
      </c>
      <c r="U52" s="11">
        <v>15016.1</v>
      </c>
      <c r="V52" s="11">
        <v>152983.9</v>
      </c>
      <c r="W52" s="11">
        <v>3000</v>
      </c>
      <c r="X52" s="11">
        <v>149983.9</v>
      </c>
      <c r="Y52" s="12">
        <v>5</v>
      </c>
      <c r="Z52" t="s">
        <v>48</v>
      </c>
    </row>
    <row r="53" spans="1:26" x14ac:dyDescent="0.2">
      <c r="A53" s="9">
        <v>45107</v>
      </c>
      <c r="B53" s="9" t="str">
        <f t="shared" si="0"/>
        <v>Friday</v>
      </c>
      <c r="C53" t="s">
        <v>33</v>
      </c>
      <c r="D53" t="s">
        <v>35</v>
      </c>
      <c r="E53" t="s">
        <v>26</v>
      </c>
      <c r="G53" t="s">
        <v>91</v>
      </c>
      <c r="H53" s="10">
        <v>0.35138888888888886</v>
      </c>
      <c r="I53" s="10">
        <v>0.63749999999999996</v>
      </c>
      <c r="J53">
        <v>760</v>
      </c>
      <c r="K53">
        <v>15</v>
      </c>
      <c r="L53" t="s">
        <v>42</v>
      </c>
      <c r="M53" s="11">
        <v>16000</v>
      </c>
      <c r="N53" t="s">
        <v>37</v>
      </c>
      <c r="O53">
        <v>18</v>
      </c>
      <c r="P53">
        <v>112.5</v>
      </c>
      <c r="Q53" s="11">
        <v>170</v>
      </c>
      <c r="R53">
        <v>57</v>
      </c>
      <c r="S53" t="s">
        <v>38</v>
      </c>
      <c r="T53" s="11">
        <v>240000</v>
      </c>
      <c r="U53" s="11">
        <v>19125</v>
      </c>
      <c r="V53" s="11">
        <v>220875</v>
      </c>
      <c r="W53" s="11">
        <v>3000</v>
      </c>
      <c r="X53" s="11">
        <v>217875</v>
      </c>
      <c r="Y53" s="12">
        <v>1</v>
      </c>
      <c r="Z53" t="s">
        <v>44</v>
      </c>
    </row>
    <row r="54" spans="1:26" x14ac:dyDescent="0.2">
      <c r="A54" s="9">
        <v>45108</v>
      </c>
      <c r="B54" s="9" t="str">
        <f t="shared" si="0"/>
        <v>Saturday</v>
      </c>
      <c r="C54" t="s">
        <v>25</v>
      </c>
      <c r="D54" t="s">
        <v>79</v>
      </c>
      <c r="E54" t="s">
        <v>35</v>
      </c>
      <c r="G54" t="s">
        <v>98</v>
      </c>
      <c r="H54" s="10">
        <v>0.44791666666666669</v>
      </c>
      <c r="I54" s="10">
        <v>0.76736111111111116</v>
      </c>
      <c r="J54">
        <v>670</v>
      </c>
      <c r="K54">
        <v>16</v>
      </c>
      <c r="L54" t="s">
        <v>42</v>
      </c>
      <c r="M54" s="11">
        <v>15000</v>
      </c>
      <c r="N54" t="s">
        <v>63</v>
      </c>
      <c r="O54">
        <v>18</v>
      </c>
      <c r="P54">
        <v>143.33000000000001</v>
      </c>
      <c r="Q54" s="11">
        <v>170</v>
      </c>
      <c r="R54">
        <v>25</v>
      </c>
      <c r="S54" t="s">
        <v>56</v>
      </c>
      <c r="T54" s="11">
        <v>240000</v>
      </c>
      <c r="U54" s="11">
        <v>24366.100000000002</v>
      </c>
      <c r="V54" s="11">
        <v>215633.9</v>
      </c>
      <c r="W54" s="11">
        <v>3000</v>
      </c>
      <c r="X54" s="11">
        <v>212633.9</v>
      </c>
      <c r="Y54" s="12">
        <v>4</v>
      </c>
      <c r="Z54" t="s">
        <v>32</v>
      </c>
    </row>
    <row r="55" spans="1:26" x14ac:dyDescent="0.2">
      <c r="A55" s="9">
        <v>45109</v>
      </c>
      <c r="B55" s="9" t="str">
        <f t="shared" si="0"/>
        <v>Sunday</v>
      </c>
      <c r="C55" t="s">
        <v>84</v>
      </c>
      <c r="D55" t="s">
        <v>35</v>
      </c>
      <c r="E55" t="s">
        <v>34</v>
      </c>
      <c r="G55" t="s">
        <v>102</v>
      </c>
      <c r="H55" s="10">
        <v>0.12013888888888889</v>
      </c>
      <c r="I55" s="10">
        <v>0.45416666666666666</v>
      </c>
      <c r="J55">
        <v>200</v>
      </c>
      <c r="K55">
        <v>15</v>
      </c>
      <c r="L55" t="s">
        <v>29</v>
      </c>
      <c r="M55" s="11">
        <v>4000</v>
      </c>
      <c r="N55" t="s">
        <v>66</v>
      </c>
      <c r="O55">
        <v>18</v>
      </c>
      <c r="P55">
        <v>38.33</v>
      </c>
      <c r="Q55" s="11">
        <v>175</v>
      </c>
      <c r="R55">
        <v>58</v>
      </c>
      <c r="S55" t="s">
        <v>31</v>
      </c>
      <c r="T55" s="11">
        <v>60000</v>
      </c>
      <c r="U55" s="11">
        <v>6707.75</v>
      </c>
      <c r="V55" s="11">
        <v>53292.25</v>
      </c>
      <c r="W55" s="11">
        <v>3000</v>
      </c>
      <c r="X55" s="11">
        <v>50292.25</v>
      </c>
      <c r="Y55" s="12">
        <v>4</v>
      </c>
      <c r="Z55" t="s">
        <v>32</v>
      </c>
    </row>
    <row r="56" spans="1:26" x14ac:dyDescent="0.2">
      <c r="A56" s="9">
        <v>45111</v>
      </c>
      <c r="B56" s="9" t="str">
        <f t="shared" si="0"/>
        <v>Tuesday</v>
      </c>
      <c r="C56" t="s">
        <v>69</v>
      </c>
      <c r="D56" t="s">
        <v>53</v>
      </c>
      <c r="E56" t="s">
        <v>34</v>
      </c>
      <c r="G56" t="s">
        <v>99</v>
      </c>
      <c r="H56" s="10">
        <v>0.33888888888888891</v>
      </c>
      <c r="I56" s="10">
        <v>0.71875</v>
      </c>
      <c r="J56">
        <v>780</v>
      </c>
      <c r="K56">
        <v>16</v>
      </c>
      <c r="L56" t="s">
        <v>29</v>
      </c>
      <c r="M56" s="11">
        <v>17000</v>
      </c>
      <c r="N56" t="s">
        <v>63</v>
      </c>
      <c r="O56">
        <v>18</v>
      </c>
      <c r="P56">
        <v>108.33</v>
      </c>
      <c r="Q56" s="11">
        <v>175</v>
      </c>
      <c r="R56">
        <v>17</v>
      </c>
      <c r="S56" t="s">
        <v>59</v>
      </c>
      <c r="T56" s="11">
        <v>272000</v>
      </c>
      <c r="U56" s="11">
        <v>18957.75</v>
      </c>
      <c r="V56" s="11">
        <v>253042.25</v>
      </c>
      <c r="W56" s="11">
        <v>3000</v>
      </c>
      <c r="X56" s="11">
        <v>250042.25</v>
      </c>
      <c r="Y56" s="12">
        <v>1</v>
      </c>
      <c r="Z56" t="s">
        <v>44</v>
      </c>
    </row>
    <row r="57" spans="1:26" x14ac:dyDescent="0.2">
      <c r="A57" s="9">
        <v>45113</v>
      </c>
      <c r="B57" s="9" t="str">
        <f t="shared" si="0"/>
        <v>Thursday</v>
      </c>
      <c r="C57" t="s">
        <v>82</v>
      </c>
      <c r="D57" t="s">
        <v>79</v>
      </c>
      <c r="E57" t="s">
        <v>26</v>
      </c>
      <c r="G57" t="s">
        <v>81</v>
      </c>
      <c r="H57" s="10">
        <v>0.27847222222222223</v>
      </c>
      <c r="I57" s="10">
        <v>0.54097222222222219</v>
      </c>
      <c r="J57">
        <v>470</v>
      </c>
      <c r="K57">
        <v>13</v>
      </c>
      <c r="L57" t="s">
        <v>42</v>
      </c>
      <c r="M57" s="11">
        <v>12000</v>
      </c>
      <c r="N57" t="s">
        <v>55</v>
      </c>
      <c r="O57">
        <v>18</v>
      </c>
      <c r="P57">
        <v>89.17</v>
      </c>
      <c r="Q57" s="11">
        <v>175</v>
      </c>
      <c r="R57">
        <v>4</v>
      </c>
      <c r="S57" t="s">
        <v>38</v>
      </c>
      <c r="T57" s="11">
        <v>156000</v>
      </c>
      <c r="U57" s="11">
        <v>15604.75</v>
      </c>
      <c r="V57" s="11">
        <v>140395.25</v>
      </c>
      <c r="W57" s="11">
        <v>3000</v>
      </c>
      <c r="X57" s="11">
        <v>137395.25</v>
      </c>
      <c r="Y57" s="12">
        <v>3</v>
      </c>
      <c r="Z57" t="s">
        <v>51</v>
      </c>
    </row>
    <row r="58" spans="1:26" x14ac:dyDescent="0.2">
      <c r="A58" s="9">
        <v>45114</v>
      </c>
      <c r="B58" s="9" t="str">
        <f t="shared" si="0"/>
        <v>Friday</v>
      </c>
      <c r="C58" t="s">
        <v>73</v>
      </c>
      <c r="D58" t="s">
        <v>34</v>
      </c>
      <c r="E58" t="s">
        <v>35</v>
      </c>
      <c r="G58" t="s">
        <v>36</v>
      </c>
      <c r="H58" s="10">
        <v>0.12013888888888889</v>
      </c>
      <c r="I58" s="10">
        <v>0.35347222222222224</v>
      </c>
      <c r="J58">
        <v>230</v>
      </c>
      <c r="K58">
        <v>14</v>
      </c>
      <c r="L58" t="s">
        <v>29</v>
      </c>
      <c r="M58" s="11">
        <v>6549</v>
      </c>
      <c r="N58" t="s">
        <v>68</v>
      </c>
      <c r="O58">
        <v>18</v>
      </c>
      <c r="P58">
        <v>38.33</v>
      </c>
      <c r="Q58" s="11">
        <v>175</v>
      </c>
      <c r="R58">
        <v>38</v>
      </c>
      <c r="S58" t="s">
        <v>59</v>
      </c>
      <c r="T58" s="11">
        <v>91686</v>
      </c>
      <c r="U58" s="11">
        <v>6707.75</v>
      </c>
      <c r="V58" s="11">
        <v>84978.25</v>
      </c>
      <c r="W58" s="11">
        <v>3000</v>
      </c>
      <c r="X58" s="11">
        <v>81978.25</v>
      </c>
      <c r="Y58" s="12">
        <v>4</v>
      </c>
      <c r="Z58" t="s">
        <v>32</v>
      </c>
    </row>
    <row r="59" spans="1:26" x14ac:dyDescent="0.2">
      <c r="A59" s="9">
        <v>45115</v>
      </c>
      <c r="B59" s="9" t="str">
        <f t="shared" si="0"/>
        <v>Saturday</v>
      </c>
      <c r="C59" t="s">
        <v>39</v>
      </c>
      <c r="D59" t="s">
        <v>46</v>
      </c>
      <c r="E59" t="s">
        <v>40</v>
      </c>
      <c r="G59" t="s">
        <v>77</v>
      </c>
      <c r="H59" s="10">
        <v>0.23472222222222222</v>
      </c>
      <c r="I59" s="10">
        <v>0.50138888888888888</v>
      </c>
      <c r="J59">
        <v>410</v>
      </c>
      <c r="K59">
        <v>17</v>
      </c>
      <c r="L59" t="s">
        <v>29</v>
      </c>
      <c r="M59" s="11">
        <v>6000</v>
      </c>
      <c r="N59" t="s">
        <v>30</v>
      </c>
      <c r="O59">
        <v>18</v>
      </c>
      <c r="P59">
        <v>75</v>
      </c>
      <c r="Q59" s="11">
        <v>175</v>
      </c>
      <c r="R59">
        <v>22</v>
      </c>
      <c r="S59" t="s">
        <v>38</v>
      </c>
      <c r="T59" s="11">
        <v>102000</v>
      </c>
      <c r="U59" s="11">
        <v>13125</v>
      </c>
      <c r="V59" s="11">
        <v>88875</v>
      </c>
      <c r="W59" s="11">
        <v>3000</v>
      </c>
      <c r="X59" s="11">
        <v>85875</v>
      </c>
      <c r="Y59" s="12">
        <v>4</v>
      </c>
      <c r="Z59" t="s">
        <v>32</v>
      </c>
    </row>
    <row r="60" spans="1:26" x14ac:dyDescent="0.2">
      <c r="A60" s="9">
        <v>45117</v>
      </c>
      <c r="B60" s="9" t="str">
        <f t="shared" si="0"/>
        <v>Monday</v>
      </c>
      <c r="C60" t="s">
        <v>73</v>
      </c>
      <c r="D60" t="s">
        <v>27</v>
      </c>
      <c r="E60" t="s">
        <v>34</v>
      </c>
      <c r="G60" t="s">
        <v>103</v>
      </c>
      <c r="H60" s="10">
        <v>9.375E-2</v>
      </c>
      <c r="I60" s="10">
        <v>0.36180555555555555</v>
      </c>
      <c r="J60">
        <v>200</v>
      </c>
      <c r="K60">
        <v>17</v>
      </c>
      <c r="L60" t="s">
        <v>29</v>
      </c>
      <c r="M60" s="11">
        <v>5000</v>
      </c>
      <c r="N60" t="s">
        <v>85</v>
      </c>
      <c r="O60">
        <v>18</v>
      </c>
      <c r="P60">
        <v>30</v>
      </c>
      <c r="Q60" s="11">
        <v>175</v>
      </c>
      <c r="R60">
        <v>0</v>
      </c>
      <c r="S60" t="s">
        <v>59</v>
      </c>
      <c r="T60" s="11">
        <v>85000</v>
      </c>
      <c r="U60" s="11">
        <v>5250</v>
      </c>
      <c r="V60" s="11">
        <v>79750</v>
      </c>
      <c r="W60" s="11">
        <v>3000</v>
      </c>
      <c r="X60" s="11">
        <v>76750</v>
      </c>
      <c r="Y60" s="12">
        <v>4</v>
      </c>
      <c r="Z60" t="s">
        <v>32</v>
      </c>
    </row>
    <row r="61" spans="1:26" x14ac:dyDescent="0.2">
      <c r="A61" s="9">
        <v>45117</v>
      </c>
      <c r="B61" s="9" t="str">
        <f t="shared" si="0"/>
        <v>Monday</v>
      </c>
      <c r="C61" t="s">
        <v>69</v>
      </c>
      <c r="D61" t="s">
        <v>35</v>
      </c>
      <c r="E61" t="s">
        <v>40</v>
      </c>
      <c r="G61" t="s">
        <v>78</v>
      </c>
      <c r="H61" s="10">
        <v>0.46388888888888891</v>
      </c>
      <c r="I61" s="10">
        <v>0.76111111111111107</v>
      </c>
      <c r="J61">
        <v>900</v>
      </c>
      <c r="K61">
        <v>13</v>
      </c>
      <c r="L61" t="s">
        <v>29</v>
      </c>
      <c r="M61" s="11">
        <v>19000</v>
      </c>
      <c r="N61" t="s">
        <v>66</v>
      </c>
      <c r="O61">
        <v>18</v>
      </c>
      <c r="P61">
        <v>148.33000000000001</v>
      </c>
      <c r="Q61" s="11">
        <v>175</v>
      </c>
      <c r="R61">
        <v>11</v>
      </c>
      <c r="S61" t="s">
        <v>56</v>
      </c>
      <c r="T61" s="11">
        <v>247000</v>
      </c>
      <c r="U61" s="11">
        <v>25957.750000000004</v>
      </c>
      <c r="V61" s="11">
        <v>221042.25</v>
      </c>
      <c r="W61" s="11">
        <v>3000</v>
      </c>
      <c r="X61" s="11">
        <v>218042.25</v>
      </c>
      <c r="Y61" s="12">
        <v>5</v>
      </c>
      <c r="Z61" t="s">
        <v>48</v>
      </c>
    </row>
    <row r="62" spans="1:26" x14ac:dyDescent="0.2">
      <c r="A62" s="9">
        <v>45117</v>
      </c>
      <c r="B62" s="9" t="str">
        <f t="shared" si="0"/>
        <v>Monday</v>
      </c>
      <c r="C62" t="s">
        <v>84</v>
      </c>
      <c r="D62" t="s">
        <v>27</v>
      </c>
      <c r="E62" t="s">
        <v>35</v>
      </c>
      <c r="G62" t="s">
        <v>104</v>
      </c>
      <c r="H62" s="10">
        <v>0.1875</v>
      </c>
      <c r="I62" s="10">
        <v>0.4826388888888889</v>
      </c>
      <c r="J62">
        <v>360</v>
      </c>
      <c r="K62">
        <v>15</v>
      </c>
      <c r="L62" t="s">
        <v>29</v>
      </c>
      <c r="M62" s="11">
        <v>7000</v>
      </c>
      <c r="N62" t="s">
        <v>72</v>
      </c>
      <c r="O62">
        <v>18</v>
      </c>
      <c r="P62">
        <v>60</v>
      </c>
      <c r="Q62" s="11">
        <v>175</v>
      </c>
      <c r="R62">
        <v>45</v>
      </c>
      <c r="S62" t="s">
        <v>38</v>
      </c>
      <c r="T62" s="11">
        <v>105000</v>
      </c>
      <c r="U62" s="11">
        <v>10500</v>
      </c>
      <c r="V62" s="11">
        <v>94500</v>
      </c>
      <c r="W62" s="11">
        <v>3000</v>
      </c>
      <c r="X62" s="11">
        <v>91500</v>
      </c>
      <c r="Y62" s="12">
        <v>4</v>
      </c>
      <c r="Z62" t="s">
        <v>32</v>
      </c>
    </row>
    <row r="63" spans="1:26" x14ac:dyDescent="0.2">
      <c r="A63" s="9">
        <v>45118</v>
      </c>
      <c r="B63" s="9" t="str">
        <f t="shared" si="0"/>
        <v>Tuesday</v>
      </c>
      <c r="C63" t="s">
        <v>39</v>
      </c>
      <c r="D63" t="s">
        <v>53</v>
      </c>
      <c r="E63" t="s">
        <v>35</v>
      </c>
      <c r="G63" t="s">
        <v>58</v>
      </c>
      <c r="H63" s="10">
        <v>0.43472222222222223</v>
      </c>
      <c r="I63" s="10">
        <v>0.88055555555555554</v>
      </c>
      <c r="J63">
        <v>835</v>
      </c>
      <c r="K63">
        <v>18</v>
      </c>
      <c r="L63" t="s">
        <v>42</v>
      </c>
      <c r="M63" s="11">
        <v>23762</v>
      </c>
      <c r="N63" t="s">
        <v>30</v>
      </c>
      <c r="O63">
        <v>18</v>
      </c>
      <c r="P63">
        <v>139.16999999999999</v>
      </c>
      <c r="Q63" s="11">
        <v>175</v>
      </c>
      <c r="R63">
        <v>17</v>
      </c>
      <c r="S63" t="s">
        <v>56</v>
      </c>
      <c r="T63" s="11">
        <v>427716</v>
      </c>
      <c r="U63" s="11">
        <v>24354.749999999996</v>
      </c>
      <c r="V63" s="11">
        <v>403361.25</v>
      </c>
      <c r="W63" s="11">
        <v>3000</v>
      </c>
      <c r="X63" s="11">
        <v>400361.25</v>
      </c>
      <c r="Y63" s="12">
        <v>1</v>
      </c>
      <c r="Z63" t="s">
        <v>44</v>
      </c>
    </row>
    <row r="64" spans="1:26" x14ac:dyDescent="0.2">
      <c r="A64" s="9">
        <v>45123</v>
      </c>
      <c r="B64" s="9" t="str">
        <f t="shared" si="0"/>
        <v>Sunday</v>
      </c>
      <c r="C64" t="s">
        <v>49</v>
      </c>
      <c r="D64" t="s">
        <v>27</v>
      </c>
      <c r="E64" t="s">
        <v>26</v>
      </c>
      <c r="G64" t="s">
        <v>50</v>
      </c>
      <c r="H64" s="10">
        <v>0.23472222222222222</v>
      </c>
      <c r="I64" s="10">
        <v>0.4861111111111111</v>
      </c>
      <c r="J64">
        <v>450</v>
      </c>
      <c r="K64">
        <v>18</v>
      </c>
      <c r="L64" t="s">
        <v>42</v>
      </c>
      <c r="M64" s="11">
        <v>12806</v>
      </c>
      <c r="N64" t="s">
        <v>76</v>
      </c>
      <c r="O64">
        <v>18</v>
      </c>
      <c r="P64">
        <v>75</v>
      </c>
      <c r="Q64" s="11">
        <v>175</v>
      </c>
      <c r="R64">
        <v>4</v>
      </c>
      <c r="S64" t="s">
        <v>59</v>
      </c>
      <c r="T64" s="11">
        <v>230508</v>
      </c>
      <c r="U64" s="11">
        <v>13125</v>
      </c>
      <c r="V64" s="11">
        <v>217383</v>
      </c>
      <c r="W64" s="11">
        <v>3000</v>
      </c>
      <c r="X64" s="11">
        <v>214383</v>
      </c>
      <c r="Y64" s="12">
        <v>4</v>
      </c>
      <c r="Z64" t="s">
        <v>32</v>
      </c>
    </row>
    <row r="65" spans="1:26" x14ac:dyDescent="0.2">
      <c r="A65" s="9">
        <v>45123</v>
      </c>
      <c r="B65" s="9" t="str">
        <f t="shared" si="0"/>
        <v>Sunday</v>
      </c>
      <c r="C65" t="s">
        <v>52</v>
      </c>
      <c r="D65" t="s">
        <v>26</v>
      </c>
      <c r="E65" t="s">
        <v>53</v>
      </c>
      <c r="G65" t="s">
        <v>75</v>
      </c>
      <c r="H65" s="10">
        <v>0.29166666666666669</v>
      </c>
      <c r="I65" s="10">
        <v>0.69375000000000009</v>
      </c>
      <c r="J65">
        <v>530</v>
      </c>
      <c r="K65">
        <v>14</v>
      </c>
      <c r="L65" t="s">
        <v>42</v>
      </c>
      <c r="M65" s="11">
        <v>15090</v>
      </c>
      <c r="N65" t="s">
        <v>68</v>
      </c>
      <c r="O65">
        <v>18</v>
      </c>
      <c r="P65">
        <v>89.17</v>
      </c>
      <c r="Q65" s="11">
        <v>175</v>
      </c>
      <c r="R65">
        <v>49</v>
      </c>
      <c r="S65" t="s">
        <v>31</v>
      </c>
      <c r="T65" s="11">
        <v>211260</v>
      </c>
      <c r="U65" s="11">
        <v>15604.75</v>
      </c>
      <c r="V65" s="11">
        <v>195655.25</v>
      </c>
      <c r="W65" s="11">
        <v>3000</v>
      </c>
      <c r="X65" s="11">
        <v>192655.25</v>
      </c>
      <c r="Y65" s="12">
        <v>4</v>
      </c>
      <c r="Z65" t="s">
        <v>32</v>
      </c>
    </row>
    <row r="66" spans="1:26" x14ac:dyDescent="0.2">
      <c r="A66" s="9">
        <v>45124</v>
      </c>
      <c r="B66" s="9" t="str">
        <f t="shared" si="0"/>
        <v>Monday</v>
      </c>
      <c r="C66" t="s">
        <v>52</v>
      </c>
      <c r="D66" t="s">
        <v>34</v>
      </c>
      <c r="E66" t="s">
        <v>79</v>
      </c>
      <c r="G66" t="s">
        <v>105</v>
      </c>
      <c r="H66" s="10">
        <v>0.26041666666666669</v>
      </c>
      <c r="I66" s="10">
        <v>0.67638888888888893</v>
      </c>
      <c r="J66">
        <v>560</v>
      </c>
      <c r="K66">
        <v>13</v>
      </c>
      <c r="L66" t="s">
        <v>42</v>
      </c>
      <c r="M66" s="11">
        <v>13000</v>
      </c>
      <c r="N66" t="s">
        <v>37</v>
      </c>
      <c r="O66">
        <v>18</v>
      </c>
      <c r="P66">
        <v>145</v>
      </c>
      <c r="Q66" s="11">
        <v>175</v>
      </c>
      <c r="R66">
        <v>34</v>
      </c>
      <c r="S66" t="s">
        <v>38</v>
      </c>
      <c r="T66" s="11">
        <v>169000</v>
      </c>
      <c r="U66" s="11">
        <v>25375</v>
      </c>
      <c r="V66" s="11">
        <v>143625</v>
      </c>
      <c r="W66" s="11">
        <v>3000</v>
      </c>
      <c r="X66" s="11">
        <v>140625</v>
      </c>
      <c r="Y66" s="12">
        <v>5</v>
      </c>
      <c r="Z66" t="s">
        <v>48</v>
      </c>
    </row>
    <row r="67" spans="1:26" x14ac:dyDescent="0.2">
      <c r="A67" s="9">
        <v>45125</v>
      </c>
      <c r="B67" s="9" t="str">
        <f t="shared" ref="B67:B130" si="1">TEXT(A67,"dddd")</f>
        <v>Tuesday</v>
      </c>
      <c r="C67" t="s">
        <v>52</v>
      </c>
      <c r="D67" t="s">
        <v>46</v>
      </c>
      <c r="E67" t="s">
        <v>27</v>
      </c>
      <c r="G67" t="s">
        <v>106</v>
      </c>
      <c r="H67" s="10">
        <v>0.46388888888888891</v>
      </c>
      <c r="I67" s="10">
        <v>0.80763888888888891</v>
      </c>
      <c r="J67">
        <v>400</v>
      </c>
      <c r="K67">
        <v>18</v>
      </c>
      <c r="L67" t="s">
        <v>42</v>
      </c>
      <c r="M67" s="11">
        <v>8000</v>
      </c>
      <c r="N67" t="s">
        <v>66</v>
      </c>
      <c r="O67">
        <v>18</v>
      </c>
      <c r="P67">
        <v>83.33</v>
      </c>
      <c r="Q67" s="11">
        <v>175</v>
      </c>
      <c r="R67">
        <v>3</v>
      </c>
      <c r="S67" t="s">
        <v>59</v>
      </c>
      <c r="T67" s="11">
        <v>144000</v>
      </c>
      <c r="U67" s="11">
        <v>14582.75</v>
      </c>
      <c r="V67" s="11">
        <v>129417.25</v>
      </c>
      <c r="W67" s="11">
        <v>3000</v>
      </c>
      <c r="X67" s="11">
        <v>126417.25</v>
      </c>
      <c r="Y67" s="12">
        <v>2</v>
      </c>
      <c r="Z67" t="s">
        <v>60</v>
      </c>
    </row>
    <row r="68" spans="1:26" x14ac:dyDescent="0.2">
      <c r="A68" s="9">
        <v>45125</v>
      </c>
      <c r="B68" s="9" t="str">
        <f t="shared" si="1"/>
        <v>Tuesday</v>
      </c>
      <c r="C68" t="s">
        <v>69</v>
      </c>
      <c r="D68" t="s">
        <v>40</v>
      </c>
      <c r="E68" t="s">
        <v>35</v>
      </c>
      <c r="G68" t="s">
        <v>107</v>
      </c>
      <c r="H68" s="10">
        <v>0.30208333333333331</v>
      </c>
      <c r="I68" s="10">
        <v>0.75069444444444444</v>
      </c>
      <c r="J68">
        <v>900</v>
      </c>
      <c r="K68">
        <v>15</v>
      </c>
      <c r="L68" t="s">
        <v>42</v>
      </c>
      <c r="M68" s="11">
        <v>23000</v>
      </c>
      <c r="N68" t="s">
        <v>66</v>
      </c>
      <c r="O68">
        <v>18</v>
      </c>
      <c r="P68">
        <v>148.33000000000001</v>
      </c>
      <c r="Q68" s="11">
        <v>175</v>
      </c>
      <c r="R68">
        <v>1</v>
      </c>
      <c r="S68" t="s">
        <v>31</v>
      </c>
      <c r="T68" s="11">
        <v>345000</v>
      </c>
      <c r="U68" s="11">
        <v>25957.750000000004</v>
      </c>
      <c r="V68" s="11">
        <v>319042.25</v>
      </c>
      <c r="W68" s="11">
        <v>3000</v>
      </c>
      <c r="X68" s="11">
        <v>316042.25</v>
      </c>
      <c r="Y68" s="12">
        <v>2</v>
      </c>
      <c r="Z68" t="s">
        <v>60</v>
      </c>
    </row>
    <row r="69" spans="1:26" x14ac:dyDescent="0.2">
      <c r="A69" s="9">
        <v>45126</v>
      </c>
      <c r="B69" s="9" t="str">
        <f t="shared" si="1"/>
        <v>Wednesday</v>
      </c>
      <c r="C69" t="s">
        <v>69</v>
      </c>
      <c r="D69" t="s">
        <v>79</v>
      </c>
      <c r="E69" t="s">
        <v>27</v>
      </c>
      <c r="G69" t="s">
        <v>90</v>
      </c>
      <c r="H69" s="10">
        <v>0.26041666666666669</v>
      </c>
      <c r="I69" s="10">
        <v>0.64305555555555549</v>
      </c>
      <c r="J69">
        <v>520</v>
      </c>
      <c r="K69">
        <v>18</v>
      </c>
      <c r="L69" t="s">
        <v>29</v>
      </c>
      <c r="M69" s="11">
        <v>11000</v>
      </c>
      <c r="N69" t="s">
        <v>63</v>
      </c>
      <c r="O69">
        <v>18</v>
      </c>
      <c r="P69">
        <v>96.67</v>
      </c>
      <c r="Q69" s="11">
        <v>175</v>
      </c>
      <c r="R69">
        <v>6</v>
      </c>
      <c r="S69" t="s">
        <v>56</v>
      </c>
      <c r="T69" s="11">
        <v>198000</v>
      </c>
      <c r="U69" s="11">
        <v>16917.25</v>
      </c>
      <c r="V69" s="11">
        <v>181082.75</v>
      </c>
      <c r="W69" s="11">
        <v>3000</v>
      </c>
      <c r="X69" s="11">
        <v>178082.75</v>
      </c>
      <c r="Y69" s="12">
        <v>2</v>
      </c>
      <c r="Z69" t="s">
        <v>60</v>
      </c>
    </row>
    <row r="70" spans="1:26" x14ac:dyDescent="0.2">
      <c r="A70" s="9">
        <v>45126</v>
      </c>
      <c r="B70" s="9" t="str">
        <f t="shared" si="1"/>
        <v>Wednesday</v>
      </c>
      <c r="C70" t="s">
        <v>73</v>
      </c>
      <c r="D70" t="s">
        <v>34</v>
      </c>
      <c r="E70" t="s">
        <v>79</v>
      </c>
      <c r="G70" t="s">
        <v>105</v>
      </c>
      <c r="H70" s="10">
        <v>0.32291666666666669</v>
      </c>
      <c r="I70" s="10">
        <v>0.70555555555555549</v>
      </c>
      <c r="J70">
        <v>560</v>
      </c>
      <c r="K70">
        <v>14</v>
      </c>
      <c r="L70" t="s">
        <v>29</v>
      </c>
      <c r="M70" s="11">
        <v>13000</v>
      </c>
      <c r="N70" t="s">
        <v>68</v>
      </c>
      <c r="O70">
        <v>18</v>
      </c>
      <c r="P70">
        <v>145</v>
      </c>
      <c r="Q70" s="11">
        <v>175</v>
      </c>
      <c r="R70">
        <v>59</v>
      </c>
      <c r="S70" t="s">
        <v>38</v>
      </c>
      <c r="T70" s="11">
        <v>182000</v>
      </c>
      <c r="U70" s="11">
        <v>25375</v>
      </c>
      <c r="V70" s="11">
        <v>156625</v>
      </c>
      <c r="W70" s="11">
        <v>3000</v>
      </c>
      <c r="X70" s="11">
        <v>153625</v>
      </c>
      <c r="Y70" s="12">
        <v>2</v>
      </c>
      <c r="Z70" t="s">
        <v>60</v>
      </c>
    </row>
    <row r="71" spans="1:26" x14ac:dyDescent="0.2">
      <c r="A71" s="9">
        <v>45126</v>
      </c>
      <c r="B71" s="9" t="str">
        <f t="shared" si="1"/>
        <v>Wednesday</v>
      </c>
      <c r="C71" t="s">
        <v>45</v>
      </c>
      <c r="D71" t="s">
        <v>27</v>
      </c>
      <c r="E71" t="s">
        <v>46</v>
      </c>
      <c r="G71" t="s">
        <v>83</v>
      </c>
      <c r="H71" s="10">
        <v>0.14097222222222222</v>
      </c>
      <c r="I71" s="10">
        <v>0.51111111111111107</v>
      </c>
      <c r="J71">
        <v>500</v>
      </c>
      <c r="K71">
        <v>17</v>
      </c>
      <c r="L71" t="s">
        <v>42</v>
      </c>
      <c r="M71" s="11">
        <v>14235</v>
      </c>
      <c r="N71" t="s">
        <v>76</v>
      </c>
      <c r="O71">
        <v>18</v>
      </c>
      <c r="P71">
        <v>83.33</v>
      </c>
      <c r="Q71" s="11">
        <v>175</v>
      </c>
      <c r="R71">
        <v>1</v>
      </c>
      <c r="S71" t="s">
        <v>59</v>
      </c>
      <c r="T71" s="11">
        <v>241995</v>
      </c>
      <c r="U71" s="11">
        <v>14582.75</v>
      </c>
      <c r="V71" s="11">
        <v>227412.25</v>
      </c>
      <c r="W71" s="11">
        <v>3000</v>
      </c>
      <c r="X71" s="11">
        <v>224412.25</v>
      </c>
      <c r="Y71" s="12">
        <v>1</v>
      </c>
      <c r="Z71" t="s">
        <v>44</v>
      </c>
    </row>
    <row r="72" spans="1:26" x14ac:dyDescent="0.2">
      <c r="A72" s="9">
        <v>45126</v>
      </c>
      <c r="B72" s="9" t="str">
        <f t="shared" si="1"/>
        <v>Wednesday</v>
      </c>
      <c r="C72" t="s">
        <v>69</v>
      </c>
      <c r="D72" t="s">
        <v>35</v>
      </c>
      <c r="E72" t="s">
        <v>34</v>
      </c>
      <c r="G72" t="s">
        <v>102</v>
      </c>
      <c r="H72" s="10">
        <v>0.33055555555555555</v>
      </c>
      <c r="I72" s="10">
        <v>0.62430555555555556</v>
      </c>
      <c r="J72">
        <v>200</v>
      </c>
      <c r="K72">
        <v>17</v>
      </c>
      <c r="L72" t="s">
        <v>29</v>
      </c>
      <c r="M72" s="11">
        <v>4000</v>
      </c>
      <c r="N72" t="s">
        <v>43</v>
      </c>
      <c r="O72">
        <v>18</v>
      </c>
      <c r="P72">
        <v>57</v>
      </c>
      <c r="Q72" s="11">
        <v>175</v>
      </c>
      <c r="R72">
        <v>33</v>
      </c>
      <c r="S72" t="s">
        <v>56</v>
      </c>
      <c r="T72" s="11">
        <v>68000</v>
      </c>
      <c r="U72" s="11">
        <v>9975</v>
      </c>
      <c r="V72" s="11">
        <v>58025</v>
      </c>
      <c r="W72" s="11">
        <v>3000</v>
      </c>
      <c r="X72" s="11">
        <v>55025</v>
      </c>
      <c r="Y72" s="12">
        <v>3</v>
      </c>
      <c r="Z72" t="s">
        <v>51</v>
      </c>
    </row>
    <row r="73" spans="1:26" x14ac:dyDescent="0.2">
      <c r="A73" s="9">
        <v>45127</v>
      </c>
      <c r="B73" s="9" t="str">
        <f t="shared" si="1"/>
        <v>Thursday</v>
      </c>
      <c r="C73" t="s">
        <v>84</v>
      </c>
      <c r="D73" t="s">
        <v>27</v>
      </c>
      <c r="E73" t="s">
        <v>46</v>
      </c>
      <c r="G73" t="s">
        <v>83</v>
      </c>
      <c r="H73" s="10">
        <v>6.805555555555555E-2</v>
      </c>
      <c r="I73" s="10">
        <v>0.34513888888888888</v>
      </c>
      <c r="J73">
        <v>500</v>
      </c>
      <c r="K73">
        <v>16</v>
      </c>
      <c r="L73" t="s">
        <v>29</v>
      </c>
      <c r="M73" s="11">
        <v>14235</v>
      </c>
      <c r="N73" t="s">
        <v>66</v>
      </c>
      <c r="O73">
        <v>18</v>
      </c>
      <c r="P73">
        <v>83.33</v>
      </c>
      <c r="Q73" s="11">
        <v>175</v>
      </c>
      <c r="R73">
        <v>53</v>
      </c>
      <c r="S73" t="s">
        <v>31</v>
      </c>
      <c r="T73" s="11">
        <v>227760</v>
      </c>
      <c r="U73" s="11">
        <v>14582.75</v>
      </c>
      <c r="V73" s="11">
        <v>213177.25</v>
      </c>
      <c r="W73" s="11">
        <v>3000</v>
      </c>
      <c r="X73" s="11">
        <v>210177.25</v>
      </c>
      <c r="Y73" s="12">
        <v>2</v>
      </c>
      <c r="Z73" t="s">
        <v>60</v>
      </c>
    </row>
    <row r="74" spans="1:26" x14ac:dyDescent="0.2">
      <c r="A74" s="9">
        <v>45129</v>
      </c>
      <c r="B74" s="9" t="str">
        <f t="shared" si="1"/>
        <v>Saturday</v>
      </c>
      <c r="C74" t="s">
        <v>73</v>
      </c>
      <c r="D74" t="s">
        <v>40</v>
      </c>
      <c r="E74" t="s">
        <v>79</v>
      </c>
      <c r="G74" t="s">
        <v>88</v>
      </c>
      <c r="H74" s="10">
        <v>0.45347222222222222</v>
      </c>
      <c r="I74" s="10">
        <v>0.6791666666666667</v>
      </c>
      <c r="J74">
        <v>620</v>
      </c>
      <c r="K74">
        <v>18</v>
      </c>
      <c r="L74" t="s">
        <v>29</v>
      </c>
      <c r="M74" s="11">
        <v>17655</v>
      </c>
      <c r="N74" t="s">
        <v>72</v>
      </c>
      <c r="O74">
        <v>18</v>
      </c>
      <c r="P74">
        <v>75</v>
      </c>
      <c r="Q74" s="11">
        <v>175</v>
      </c>
      <c r="R74">
        <v>35</v>
      </c>
      <c r="S74" t="s">
        <v>38</v>
      </c>
      <c r="T74" s="11">
        <v>317790</v>
      </c>
      <c r="U74" s="11">
        <v>13125</v>
      </c>
      <c r="V74" s="11">
        <v>304665</v>
      </c>
      <c r="W74" s="11">
        <v>3000</v>
      </c>
      <c r="X74" s="11">
        <v>301665</v>
      </c>
      <c r="Y74" s="12">
        <v>4</v>
      </c>
      <c r="Z74" t="s">
        <v>32</v>
      </c>
    </row>
    <row r="75" spans="1:26" x14ac:dyDescent="0.2">
      <c r="A75" s="9">
        <v>45130</v>
      </c>
      <c r="B75" s="9" t="str">
        <f t="shared" si="1"/>
        <v>Sunday</v>
      </c>
      <c r="C75" t="s">
        <v>39</v>
      </c>
      <c r="D75" t="s">
        <v>46</v>
      </c>
      <c r="E75" t="s">
        <v>53</v>
      </c>
      <c r="G75" t="s">
        <v>89</v>
      </c>
      <c r="H75" s="10">
        <v>0.35972222222222222</v>
      </c>
      <c r="I75" s="10">
        <v>0.71527777777777779</v>
      </c>
      <c r="J75">
        <v>320</v>
      </c>
      <c r="K75">
        <v>14</v>
      </c>
      <c r="L75" t="s">
        <v>42</v>
      </c>
      <c r="M75" s="11">
        <v>9105</v>
      </c>
      <c r="N75" t="s">
        <v>76</v>
      </c>
      <c r="O75">
        <v>18</v>
      </c>
      <c r="P75">
        <v>46</v>
      </c>
      <c r="Q75" s="11">
        <v>175</v>
      </c>
      <c r="R75">
        <v>47</v>
      </c>
      <c r="S75" t="s">
        <v>38</v>
      </c>
      <c r="T75" s="11">
        <v>127470</v>
      </c>
      <c r="U75" s="11">
        <v>8050</v>
      </c>
      <c r="V75" s="11">
        <v>119420</v>
      </c>
      <c r="W75" s="11">
        <v>3000</v>
      </c>
      <c r="X75" s="11">
        <v>116420</v>
      </c>
      <c r="Y75" s="12">
        <v>4</v>
      </c>
      <c r="Z75" t="s">
        <v>32</v>
      </c>
    </row>
    <row r="76" spans="1:26" x14ac:dyDescent="0.2">
      <c r="A76" s="9">
        <v>45131</v>
      </c>
      <c r="B76" s="9" t="str">
        <f t="shared" si="1"/>
        <v>Monday</v>
      </c>
      <c r="C76" t="s">
        <v>52</v>
      </c>
      <c r="D76" t="s">
        <v>46</v>
      </c>
      <c r="E76" t="s">
        <v>79</v>
      </c>
      <c r="G76" t="s">
        <v>108</v>
      </c>
      <c r="H76" s="10">
        <v>0.23472222222222222</v>
      </c>
      <c r="I76" s="10">
        <v>0.63402777777777786</v>
      </c>
      <c r="J76">
        <v>270</v>
      </c>
      <c r="K76">
        <v>15</v>
      </c>
      <c r="L76" t="s">
        <v>29</v>
      </c>
      <c r="M76" s="11">
        <v>7000</v>
      </c>
      <c r="N76" t="s">
        <v>76</v>
      </c>
      <c r="O76">
        <v>18</v>
      </c>
      <c r="P76">
        <v>45</v>
      </c>
      <c r="Q76" s="11">
        <v>175</v>
      </c>
      <c r="R76">
        <v>60</v>
      </c>
      <c r="S76" t="s">
        <v>31</v>
      </c>
      <c r="T76" s="11">
        <v>105000</v>
      </c>
      <c r="U76" s="11">
        <v>7875</v>
      </c>
      <c r="V76" s="11">
        <v>97125</v>
      </c>
      <c r="W76" s="11">
        <v>3000</v>
      </c>
      <c r="X76" s="11">
        <v>94125</v>
      </c>
      <c r="Y76" s="12">
        <v>1</v>
      </c>
      <c r="Z76" t="s">
        <v>44</v>
      </c>
    </row>
    <row r="77" spans="1:26" x14ac:dyDescent="0.2">
      <c r="A77" s="9">
        <v>45131</v>
      </c>
      <c r="B77" s="9" t="str">
        <f t="shared" si="1"/>
        <v>Monday</v>
      </c>
      <c r="C77" t="s">
        <v>25</v>
      </c>
      <c r="D77" t="s">
        <v>79</v>
      </c>
      <c r="E77" t="s">
        <v>26</v>
      </c>
      <c r="G77" t="s">
        <v>81</v>
      </c>
      <c r="H77" s="10">
        <v>0.30208333333333331</v>
      </c>
      <c r="I77" s="10">
        <v>0.57569444444444451</v>
      </c>
      <c r="J77">
        <v>535</v>
      </c>
      <c r="K77">
        <v>16</v>
      </c>
      <c r="L77" t="s">
        <v>42</v>
      </c>
      <c r="M77" s="11">
        <v>15226</v>
      </c>
      <c r="N77" t="s">
        <v>68</v>
      </c>
      <c r="O77">
        <v>18</v>
      </c>
      <c r="P77">
        <v>89.17</v>
      </c>
      <c r="Q77" s="11">
        <v>175</v>
      </c>
      <c r="R77">
        <v>45</v>
      </c>
      <c r="S77" t="s">
        <v>31</v>
      </c>
      <c r="T77" s="11">
        <v>243616</v>
      </c>
      <c r="U77" s="11">
        <v>15604.75</v>
      </c>
      <c r="V77" s="11">
        <v>228011.25</v>
      </c>
      <c r="W77" s="11">
        <v>3000</v>
      </c>
      <c r="X77" s="11">
        <v>225011.25</v>
      </c>
      <c r="Y77" s="12">
        <v>1</v>
      </c>
      <c r="Z77" t="s">
        <v>44</v>
      </c>
    </row>
    <row r="78" spans="1:26" x14ac:dyDescent="0.2">
      <c r="A78" s="9">
        <v>45132</v>
      </c>
      <c r="B78" s="9" t="str">
        <f t="shared" si="1"/>
        <v>Tuesday</v>
      </c>
      <c r="C78" t="s">
        <v>82</v>
      </c>
      <c r="D78" t="s">
        <v>46</v>
      </c>
      <c r="E78" t="s">
        <v>27</v>
      </c>
      <c r="G78" t="s">
        <v>106</v>
      </c>
      <c r="H78" s="10">
        <v>0.39097222222222222</v>
      </c>
      <c r="I78" s="10">
        <v>0.63124999999999998</v>
      </c>
      <c r="J78">
        <v>400</v>
      </c>
      <c r="K78">
        <v>14</v>
      </c>
      <c r="L78" t="s">
        <v>29</v>
      </c>
      <c r="M78" s="11">
        <v>8000</v>
      </c>
      <c r="N78" t="s">
        <v>68</v>
      </c>
      <c r="O78">
        <v>18</v>
      </c>
      <c r="P78">
        <v>83.33</v>
      </c>
      <c r="Q78" s="11">
        <v>175</v>
      </c>
      <c r="R78">
        <v>50</v>
      </c>
      <c r="S78" t="s">
        <v>38</v>
      </c>
      <c r="T78" s="11">
        <v>112000</v>
      </c>
      <c r="U78" s="11">
        <v>14582.75</v>
      </c>
      <c r="V78" s="11">
        <v>97417.25</v>
      </c>
      <c r="W78" s="11">
        <v>3000</v>
      </c>
      <c r="X78" s="11">
        <v>94417.25</v>
      </c>
      <c r="Y78" s="12">
        <v>1</v>
      </c>
      <c r="Z78" t="s">
        <v>44</v>
      </c>
    </row>
    <row r="79" spans="1:26" x14ac:dyDescent="0.2">
      <c r="A79" s="9">
        <v>45133</v>
      </c>
      <c r="B79" s="9" t="str">
        <f t="shared" si="1"/>
        <v>Wednesday</v>
      </c>
      <c r="C79" t="s">
        <v>45</v>
      </c>
      <c r="D79" t="s">
        <v>46</v>
      </c>
      <c r="E79" t="s">
        <v>27</v>
      </c>
      <c r="G79" t="s">
        <v>106</v>
      </c>
      <c r="H79" s="10">
        <v>0.30763888888888891</v>
      </c>
      <c r="I79" s="10">
        <v>0.66666666666666674</v>
      </c>
      <c r="J79">
        <v>400</v>
      </c>
      <c r="K79">
        <v>18</v>
      </c>
      <c r="L79" t="s">
        <v>42</v>
      </c>
      <c r="M79" s="11">
        <v>8000</v>
      </c>
      <c r="N79" t="s">
        <v>76</v>
      </c>
      <c r="O79">
        <v>18</v>
      </c>
      <c r="P79">
        <v>83.33</v>
      </c>
      <c r="Q79" s="11">
        <v>175</v>
      </c>
      <c r="R79">
        <v>35</v>
      </c>
      <c r="S79" t="s">
        <v>59</v>
      </c>
      <c r="T79" s="11">
        <v>144000</v>
      </c>
      <c r="U79" s="11">
        <v>14582.75</v>
      </c>
      <c r="V79" s="11">
        <v>129417.25</v>
      </c>
      <c r="W79" s="11">
        <v>3000</v>
      </c>
      <c r="X79" s="11">
        <v>126417.25</v>
      </c>
      <c r="Y79" s="12">
        <v>5</v>
      </c>
      <c r="Z79" t="s">
        <v>48</v>
      </c>
    </row>
    <row r="80" spans="1:26" x14ac:dyDescent="0.2">
      <c r="A80" s="9">
        <v>45135</v>
      </c>
      <c r="B80" s="9" t="str">
        <f t="shared" si="1"/>
        <v>Friday</v>
      </c>
      <c r="C80" t="s">
        <v>49</v>
      </c>
      <c r="D80" t="s">
        <v>79</v>
      </c>
      <c r="E80" t="s">
        <v>27</v>
      </c>
      <c r="G80" t="s">
        <v>90</v>
      </c>
      <c r="H80" s="10">
        <v>0.33888888888888891</v>
      </c>
      <c r="I80" s="10">
        <v>0.75277777777777777</v>
      </c>
      <c r="J80">
        <v>580</v>
      </c>
      <c r="K80">
        <v>13</v>
      </c>
      <c r="L80" t="s">
        <v>29</v>
      </c>
      <c r="M80" s="11">
        <v>16507</v>
      </c>
      <c r="N80" t="s">
        <v>76</v>
      </c>
      <c r="O80">
        <v>18</v>
      </c>
      <c r="P80">
        <v>96.67</v>
      </c>
      <c r="Q80" s="11">
        <v>175</v>
      </c>
      <c r="R80">
        <v>48</v>
      </c>
      <c r="S80" t="s">
        <v>38</v>
      </c>
      <c r="T80" s="11">
        <v>214591</v>
      </c>
      <c r="U80" s="11">
        <v>16917.25</v>
      </c>
      <c r="V80" s="11">
        <v>197673.75</v>
      </c>
      <c r="W80" s="11">
        <v>3000</v>
      </c>
      <c r="X80" s="11">
        <v>194673.75</v>
      </c>
      <c r="Y80" s="12">
        <v>2</v>
      </c>
      <c r="Z80" t="s">
        <v>60</v>
      </c>
    </row>
    <row r="81" spans="1:26" x14ac:dyDescent="0.2">
      <c r="A81" s="9">
        <v>45135</v>
      </c>
      <c r="B81" s="9" t="str">
        <f t="shared" si="1"/>
        <v>Friday</v>
      </c>
      <c r="C81" t="s">
        <v>61</v>
      </c>
      <c r="D81" t="s">
        <v>26</v>
      </c>
      <c r="E81" t="s">
        <v>34</v>
      </c>
      <c r="G81" t="s">
        <v>71</v>
      </c>
      <c r="H81" s="10">
        <v>0.30208333333333331</v>
      </c>
      <c r="I81" s="10">
        <v>0.73055555555555551</v>
      </c>
      <c r="J81">
        <v>635</v>
      </c>
      <c r="K81">
        <v>15</v>
      </c>
      <c r="L81" t="s">
        <v>42</v>
      </c>
      <c r="M81" s="11">
        <v>18077</v>
      </c>
      <c r="N81" t="s">
        <v>72</v>
      </c>
      <c r="O81">
        <v>18</v>
      </c>
      <c r="P81">
        <v>105.83</v>
      </c>
      <c r="Q81" s="11">
        <v>175</v>
      </c>
      <c r="R81">
        <v>51</v>
      </c>
      <c r="S81" t="s">
        <v>59</v>
      </c>
      <c r="T81" s="11">
        <v>271155</v>
      </c>
      <c r="U81" s="11">
        <v>18520.25</v>
      </c>
      <c r="V81" s="11">
        <v>252634.75</v>
      </c>
      <c r="W81" s="11">
        <v>3000</v>
      </c>
      <c r="X81" s="11">
        <v>249634.75</v>
      </c>
      <c r="Y81" s="12">
        <v>1</v>
      </c>
      <c r="Z81" t="s">
        <v>44</v>
      </c>
    </row>
    <row r="82" spans="1:26" x14ac:dyDescent="0.2">
      <c r="A82" s="9">
        <v>45139</v>
      </c>
      <c r="B82" s="9" t="str">
        <f t="shared" si="1"/>
        <v>Tuesday</v>
      </c>
      <c r="C82" t="s">
        <v>45</v>
      </c>
      <c r="D82" t="s">
        <v>79</v>
      </c>
      <c r="E82" t="s">
        <v>53</v>
      </c>
      <c r="G82" t="s">
        <v>109</v>
      </c>
      <c r="H82" s="10">
        <v>0.35972222222222222</v>
      </c>
      <c r="I82" s="10">
        <v>0.58750000000000002</v>
      </c>
      <c r="J82">
        <v>130</v>
      </c>
      <c r="K82">
        <v>16</v>
      </c>
      <c r="L82" t="s">
        <v>29</v>
      </c>
      <c r="M82" s="11">
        <v>3000</v>
      </c>
      <c r="N82" t="s">
        <v>72</v>
      </c>
      <c r="O82">
        <v>18</v>
      </c>
      <c r="P82">
        <v>19</v>
      </c>
      <c r="Q82" s="11">
        <v>175</v>
      </c>
      <c r="R82">
        <v>57</v>
      </c>
      <c r="S82" t="s">
        <v>59</v>
      </c>
      <c r="T82" s="11">
        <v>48000</v>
      </c>
      <c r="U82" s="11">
        <v>3325</v>
      </c>
      <c r="V82" s="11">
        <v>44675</v>
      </c>
      <c r="W82" s="11">
        <v>3000</v>
      </c>
      <c r="X82" s="11">
        <v>41675</v>
      </c>
      <c r="Y82" s="12">
        <v>3</v>
      </c>
      <c r="Z82" t="s">
        <v>51</v>
      </c>
    </row>
    <row r="83" spans="1:26" x14ac:dyDescent="0.2">
      <c r="A83" s="9">
        <v>45140</v>
      </c>
      <c r="B83" s="9" t="str">
        <f t="shared" si="1"/>
        <v>Wednesday</v>
      </c>
      <c r="C83" t="s">
        <v>84</v>
      </c>
      <c r="D83" t="s">
        <v>34</v>
      </c>
      <c r="E83" t="s">
        <v>79</v>
      </c>
      <c r="G83" t="s">
        <v>105</v>
      </c>
      <c r="H83" s="10">
        <v>0.32291666666666669</v>
      </c>
      <c r="I83" s="10">
        <v>0.7548611111111112</v>
      </c>
      <c r="J83">
        <v>560</v>
      </c>
      <c r="K83">
        <v>17</v>
      </c>
      <c r="L83" t="s">
        <v>29</v>
      </c>
      <c r="M83" s="11">
        <v>13000</v>
      </c>
      <c r="N83" t="s">
        <v>76</v>
      </c>
      <c r="O83">
        <v>18</v>
      </c>
      <c r="P83">
        <v>145</v>
      </c>
      <c r="Q83" s="11">
        <v>175</v>
      </c>
      <c r="R83">
        <v>38</v>
      </c>
      <c r="S83" t="s">
        <v>56</v>
      </c>
      <c r="T83" s="11">
        <v>221000</v>
      </c>
      <c r="U83" s="11">
        <v>25375</v>
      </c>
      <c r="V83" s="11">
        <v>195625</v>
      </c>
      <c r="W83" s="11">
        <v>3000</v>
      </c>
      <c r="X83" s="11">
        <v>192625</v>
      </c>
      <c r="Y83" s="12">
        <v>1</v>
      </c>
      <c r="Z83" t="s">
        <v>44</v>
      </c>
    </row>
    <row r="84" spans="1:26" x14ac:dyDescent="0.2">
      <c r="A84" s="9">
        <v>45140</v>
      </c>
      <c r="B84" s="9" t="str">
        <f t="shared" si="1"/>
        <v>Wednesday</v>
      </c>
      <c r="C84" t="s">
        <v>33</v>
      </c>
      <c r="D84" t="s">
        <v>35</v>
      </c>
      <c r="E84" t="s">
        <v>79</v>
      </c>
      <c r="G84" t="s">
        <v>110</v>
      </c>
      <c r="H84" s="10">
        <v>0.15625</v>
      </c>
      <c r="I84" s="10">
        <v>0.38541666666666663</v>
      </c>
      <c r="J84">
        <v>670</v>
      </c>
      <c r="K84">
        <v>17</v>
      </c>
      <c r="L84" t="s">
        <v>29</v>
      </c>
      <c r="M84" s="11">
        <v>18000</v>
      </c>
      <c r="N84" t="s">
        <v>30</v>
      </c>
      <c r="O84">
        <v>18</v>
      </c>
      <c r="P84">
        <v>145</v>
      </c>
      <c r="Q84" s="11">
        <v>175</v>
      </c>
      <c r="R84">
        <v>44</v>
      </c>
      <c r="S84" t="s">
        <v>56</v>
      </c>
      <c r="T84" s="11">
        <v>306000</v>
      </c>
      <c r="U84" s="11">
        <v>25375</v>
      </c>
      <c r="V84" s="11">
        <v>280625</v>
      </c>
      <c r="W84" s="11">
        <v>3000</v>
      </c>
      <c r="X84" s="11">
        <v>277625</v>
      </c>
      <c r="Y84" s="12">
        <v>4</v>
      </c>
      <c r="Z84" t="s">
        <v>32</v>
      </c>
    </row>
    <row r="85" spans="1:26" x14ac:dyDescent="0.2">
      <c r="A85" s="9">
        <v>45140</v>
      </c>
      <c r="B85" s="9" t="str">
        <f t="shared" si="1"/>
        <v>Wednesday</v>
      </c>
      <c r="C85" t="s">
        <v>73</v>
      </c>
      <c r="D85" t="s">
        <v>79</v>
      </c>
      <c r="E85" t="s">
        <v>27</v>
      </c>
      <c r="G85" t="s">
        <v>90</v>
      </c>
      <c r="H85" s="10">
        <v>0.32013888888888886</v>
      </c>
      <c r="I85" s="10">
        <v>0.67638888888888893</v>
      </c>
      <c r="J85">
        <v>580</v>
      </c>
      <c r="K85">
        <v>15</v>
      </c>
      <c r="L85" t="s">
        <v>42</v>
      </c>
      <c r="M85" s="11">
        <v>16507</v>
      </c>
      <c r="N85" t="s">
        <v>55</v>
      </c>
      <c r="O85">
        <v>18</v>
      </c>
      <c r="P85">
        <v>96.67</v>
      </c>
      <c r="Q85" s="11">
        <v>175</v>
      </c>
      <c r="R85">
        <v>59</v>
      </c>
      <c r="S85" t="s">
        <v>38</v>
      </c>
      <c r="T85" s="11">
        <v>247605</v>
      </c>
      <c r="U85" s="11">
        <v>16917.25</v>
      </c>
      <c r="V85" s="11">
        <v>230687.75</v>
      </c>
      <c r="W85" s="11">
        <v>3000</v>
      </c>
      <c r="X85" s="11">
        <v>227687.75</v>
      </c>
      <c r="Y85" s="12">
        <v>2</v>
      </c>
      <c r="Z85" t="s">
        <v>60</v>
      </c>
    </row>
    <row r="86" spans="1:26" x14ac:dyDescent="0.2">
      <c r="A86" s="9">
        <v>45142</v>
      </c>
      <c r="B86" s="9" t="str">
        <f t="shared" si="1"/>
        <v>Friday</v>
      </c>
      <c r="C86" t="s">
        <v>94</v>
      </c>
      <c r="D86" t="s">
        <v>34</v>
      </c>
      <c r="E86" t="s">
        <v>40</v>
      </c>
      <c r="G86" t="s">
        <v>41</v>
      </c>
      <c r="H86" s="10">
        <v>0.33055555555555555</v>
      </c>
      <c r="I86" s="10">
        <v>0.68472222222222223</v>
      </c>
      <c r="J86">
        <v>690</v>
      </c>
      <c r="K86">
        <v>17</v>
      </c>
      <c r="L86" t="s">
        <v>29</v>
      </c>
      <c r="M86" s="11">
        <v>19636</v>
      </c>
      <c r="N86" t="s">
        <v>55</v>
      </c>
      <c r="O86">
        <v>18</v>
      </c>
      <c r="P86">
        <v>115</v>
      </c>
      <c r="Q86" s="11">
        <v>175</v>
      </c>
      <c r="R86">
        <v>21</v>
      </c>
      <c r="S86" t="s">
        <v>59</v>
      </c>
      <c r="T86" s="11">
        <v>333812</v>
      </c>
      <c r="U86" s="11">
        <v>20125</v>
      </c>
      <c r="V86" s="11">
        <v>313687</v>
      </c>
      <c r="W86" s="11">
        <v>3000</v>
      </c>
      <c r="X86" s="11">
        <v>310687</v>
      </c>
      <c r="Y86" s="12">
        <v>2</v>
      </c>
      <c r="Z86" t="s">
        <v>60</v>
      </c>
    </row>
    <row r="87" spans="1:26" x14ac:dyDescent="0.2">
      <c r="A87" s="9">
        <v>45143</v>
      </c>
      <c r="B87" s="9" t="str">
        <f t="shared" si="1"/>
        <v>Saturday</v>
      </c>
      <c r="C87" t="s">
        <v>39</v>
      </c>
      <c r="D87" t="s">
        <v>40</v>
      </c>
      <c r="E87" t="s">
        <v>46</v>
      </c>
      <c r="G87" t="s">
        <v>92</v>
      </c>
      <c r="H87" s="10">
        <v>6.805555555555555E-2</v>
      </c>
      <c r="I87" s="10">
        <v>0.2951388888888889</v>
      </c>
      <c r="J87">
        <v>450</v>
      </c>
      <c r="K87">
        <v>13</v>
      </c>
      <c r="L87" t="s">
        <v>42</v>
      </c>
      <c r="M87" s="11">
        <v>12806</v>
      </c>
      <c r="N87" t="s">
        <v>63</v>
      </c>
      <c r="O87">
        <v>18</v>
      </c>
      <c r="P87">
        <v>59</v>
      </c>
      <c r="Q87" s="11">
        <v>175</v>
      </c>
      <c r="R87">
        <v>48</v>
      </c>
      <c r="S87" t="s">
        <v>56</v>
      </c>
      <c r="T87" s="11">
        <v>166478</v>
      </c>
      <c r="U87" s="11">
        <v>10325</v>
      </c>
      <c r="V87" s="11">
        <v>156153</v>
      </c>
      <c r="W87" s="11">
        <v>3000</v>
      </c>
      <c r="X87" s="11">
        <v>153153</v>
      </c>
      <c r="Y87" s="12">
        <v>3</v>
      </c>
      <c r="Z87" t="s">
        <v>51</v>
      </c>
    </row>
    <row r="88" spans="1:26" x14ac:dyDescent="0.2">
      <c r="A88" s="9">
        <v>45146</v>
      </c>
      <c r="B88" s="9" t="str">
        <f t="shared" si="1"/>
        <v>Tuesday</v>
      </c>
      <c r="C88" t="s">
        <v>25</v>
      </c>
      <c r="D88" t="s">
        <v>46</v>
      </c>
      <c r="E88" t="s">
        <v>34</v>
      </c>
      <c r="G88" t="s">
        <v>47</v>
      </c>
      <c r="H88" s="10">
        <v>0.27847222222222223</v>
      </c>
      <c r="I88" s="10">
        <v>0.59444444444444444</v>
      </c>
      <c r="J88">
        <v>580</v>
      </c>
      <c r="K88">
        <v>18</v>
      </c>
      <c r="L88" t="s">
        <v>29</v>
      </c>
      <c r="M88" s="11">
        <v>16507</v>
      </c>
      <c r="N88" t="s">
        <v>76</v>
      </c>
      <c r="O88">
        <v>18</v>
      </c>
      <c r="P88">
        <v>79</v>
      </c>
      <c r="Q88" s="11">
        <v>175</v>
      </c>
      <c r="R88">
        <v>12</v>
      </c>
      <c r="S88" t="s">
        <v>56</v>
      </c>
      <c r="T88" s="11">
        <v>297126</v>
      </c>
      <c r="U88" s="11">
        <v>13825</v>
      </c>
      <c r="V88" s="11">
        <v>283301</v>
      </c>
      <c r="W88" s="11">
        <v>3000</v>
      </c>
      <c r="X88" s="11">
        <v>280301</v>
      </c>
      <c r="Y88" s="12">
        <v>2</v>
      </c>
      <c r="Z88" t="s">
        <v>60</v>
      </c>
    </row>
    <row r="89" spans="1:26" x14ac:dyDescent="0.2">
      <c r="A89" s="9">
        <v>45147</v>
      </c>
      <c r="B89" s="9" t="str">
        <f t="shared" si="1"/>
        <v>Wednesday</v>
      </c>
      <c r="C89" t="s">
        <v>61</v>
      </c>
      <c r="D89" t="s">
        <v>27</v>
      </c>
      <c r="E89" t="s">
        <v>53</v>
      </c>
      <c r="G89" t="s">
        <v>62</v>
      </c>
      <c r="H89" s="10">
        <v>0.15625</v>
      </c>
      <c r="I89" s="10">
        <v>0.49027777777777776</v>
      </c>
      <c r="J89">
        <v>750</v>
      </c>
      <c r="K89">
        <v>17</v>
      </c>
      <c r="L89" t="s">
        <v>42</v>
      </c>
      <c r="M89" s="11">
        <v>21344</v>
      </c>
      <c r="N89" t="s">
        <v>76</v>
      </c>
      <c r="O89">
        <v>18</v>
      </c>
      <c r="P89">
        <v>109</v>
      </c>
      <c r="Q89" s="11">
        <v>175</v>
      </c>
      <c r="R89">
        <v>56</v>
      </c>
      <c r="S89" t="s">
        <v>59</v>
      </c>
      <c r="T89" s="11">
        <v>362848</v>
      </c>
      <c r="U89" s="11">
        <v>19075</v>
      </c>
      <c r="V89" s="11">
        <v>343773</v>
      </c>
      <c r="W89" s="11">
        <v>3000</v>
      </c>
      <c r="X89" s="11">
        <v>340773</v>
      </c>
      <c r="Y89" s="12">
        <v>3</v>
      </c>
      <c r="Z89" t="s">
        <v>51</v>
      </c>
    </row>
    <row r="90" spans="1:26" x14ac:dyDescent="0.2">
      <c r="A90" s="9">
        <v>45151</v>
      </c>
      <c r="B90" s="9" t="str">
        <f t="shared" si="1"/>
        <v>Sunday</v>
      </c>
      <c r="C90" t="s">
        <v>49</v>
      </c>
      <c r="D90" t="s">
        <v>40</v>
      </c>
      <c r="E90" t="s">
        <v>46</v>
      </c>
      <c r="G90" t="s">
        <v>92</v>
      </c>
      <c r="H90" s="10">
        <v>0.39097222222222222</v>
      </c>
      <c r="I90" s="10">
        <v>0.76458333333333339</v>
      </c>
      <c r="J90">
        <v>450</v>
      </c>
      <c r="K90">
        <v>16</v>
      </c>
      <c r="L90" t="s">
        <v>42</v>
      </c>
      <c r="M90" s="11">
        <v>12806</v>
      </c>
      <c r="N90" t="s">
        <v>72</v>
      </c>
      <c r="O90">
        <v>18</v>
      </c>
      <c r="P90">
        <v>59</v>
      </c>
      <c r="Q90" s="11">
        <v>175</v>
      </c>
      <c r="R90">
        <v>34</v>
      </c>
      <c r="S90" t="s">
        <v>56</v>
      </c>
      <c r="T90" s="11">
        <v>204896</v>
      </c>
      <c r="U90" s="11">
        <v>10325</v>
      </c>
      <c r="V90" s="11">
        <v>194571</v>
      </c>
      <c r="W90" s="11">
        <v>3000</v>
      </c>
      <c r="X90" s="11">
        <v>191571</v>
      </c>
      <c r="Y90" s="12">
        <v>1</v>
      </c>
      <c r="Z90" t="s">
        <v>44</v>
      </c>
    </row>
    <row r="91" spans="1:26" x14ac:dyDescent="0.2">
      <c r="A91" s="9">
        <v>45151</v>
      </c>
      <c r="B91" s="9" t="str">
        <f t="shared" si="1"/>
        <v>Sunday</v>
      </c>
      <c r="C91" t="s">
        <v>64</v>
      </c>
      <c r="D91" t="s">
        <v>40</v>
      </c>
      <c r="E91" t="s">
        <v>53</v>
      </c>
      <c r="G91" t="s">
        <v>70</v>
      </c>
      <c r="H91" s="10">
        <v>0.30208333333333331</v>
      </c>
      <c r="I91" s="10">
        <v>0.75555555555555554</v>
      </c>
      <c r="J91">
        <v>615</v>
      </c>
      <c r="K91">
        <v>17</v>
      </c>
      <c r="L91" t="s">
        <v>29</v>
      </c>
      <c r="M91" s="11">
        <v>17505</v>
      </c>
      <c r="N91" t="s">
        <v>76</v>
      </c>
      <c r="O91">
        <v>18</v>
      </c>
      <c r="P91">
        <v>102.5</v>
      </c>
      <c r="Q91" s="11">
        <v>175</v>
      </c>
      <c r="R91">
        <v>51</v>
      </c>
      <c r="S91" t="s">
        <v>56</v>
      </c>
      <c r="T91" s="11">
        <v>297585</v>
      </c>
      <c r="U91" s="11">
        <v>17937.5</v>
      </c>
      <c r="V91" s="11">
        <v>279647.5</v>
      </c>
      <c r="W91" s="11">
        <v>3000</v>
      </c>
      <c r="X91" s="11">
        <v>276647.5</v>
      </c>
      <c r="Y91" s="12">
        <v>2</v>
      </c>
      <c r="Z91" t="s">
        <v>60</v>
      </c>
    </row>
    <row r="92" spans="1:26" x14ac:dyDescent="0.2">
      <c r="A92" s="9">
        <v>45152</v>
      </c>
      <c r="B92" s="9" t="str">
        <f t="shared" si="1"/>
        <v>Monday</v>
      </c>
      <c r="C92" t="s">
        <v>52</v>
      </c>
      <c r="D92" t="s">
        <v>40</v>
      </c>
      <c r="E92" t="s">
        <v>27</v>
      </c>
      <c r="G92" t="s">
        <v>101</v>
      </c>
      <c r="H92" s="10">
        <v>0.30763888888888891</v>
      </c>
      <c r="I92" s="10">
        <v>0.5986111111111112</v>
      </c>
      <c r="J92">
        <v>590</v>
      </c>
      <c r="K92">
        <v>18</v>
      </c>
      <c r="L92" t="s">
        <v>42</v>
      </c>
      <c r="M92" s="11">
        <v>16799</v>
      </c>
      <c r="N92" t="s">
        <v>55</v>
      </c>
      <c r="O92">
        <v>18</v>
      </c>
      <c r="P92">
        <v>98.33</v>
      </c>
      <c r="Q92" s="11">
        <v>175</v>
      </c>
      <c r="R92">
        <v>6</v>
      </c>
      <c r="S92" t="s">
        <v>38</v>
      </c>
      <c r="T92" s="11">
        <v>302382</v>
      </c>
      <c r="U92" s="11">
        <v>17207.75</v>
      </c>
      <c r="V92" s="11">
        <v>285174.25</v>
      </c>
      <c r="W92" s="11">
        <v>3000</v>
      </c>
      <c r="X92" s="11">
        <v>282174.25</v>
      </c>
      <c r="Y92" s="12">
        <v>1</v>
      </c>
      <c r="Z92" t="s">
        <v>44</v>
      </c>
    </row>
    <row r="93" spans="1:26" x14ac:dyDescent="0.2">
      <c r="A93" s="9">
        <v>45153</v>
      </c>
      <c r="B93" s="9" t="str">
        <f t="shared" si="1"/>
        <v>Tuesday</v>
      </c>
      <c r="C93" t="s">
        <v>94</v>
      </c>
      <c r="D93" t="s">
        <v>79</v>
      </c>
      <c r="E93" t="s">
        <v>27</v>
      </c>
      <c r="G93" t="s">
        <v>90</v>
      </c>
      <c r="H93" s="10">
        <v>0.30208333333333331</v>
      </c>
      <c r="I93" s="10">
        <v>0.53541666666666665</v>
      </c>
      <c r="J93">
        <v>580</v>
      </c>
      <c r="K93">
        <v>17</v>
      </c>
      <c r="L93" t="s">
        <v>29</v>
      </c>
      <c r="M93" s="11">
        <v>16507</v>
      </c>
      <c r="N93" t="s">
        <v>43</v>
      </c>
      <c r="O93">
        <v>18</v>
      </c>
      <c r="P93">
        <v>96.67</v>
      </c>
      <c r="Q93" s="11">
        <v>175</v>
      </c>
      <c r="R93">
        <v>49</v>
      </c>
      <c r="S93" t="s">
        <v>38</v>
      </c>
      <c r="T93" s="11">
        <v>280619</v>
      </c>
      <c r="U93" s="11">
        <v>16917.25</v>
      </c>
      <c r="V93" s="11">
        <v>263701.75</v>
      </c>
      <c r="W93" s="11">
        <v>3000</v>
      </c>
      <c r="X93" s="11">
        <v>260701.75</v>
      </c>
      <c r="Y93" s="12">
        <v>1</v>
      </c>
      <c r="Z93" t="s">
        <v>44</v>
      </c>
    </row>
    <row r="94" spans="1:26" x14ac:dyDescent="0.2">
      <c r="A94" s="9">
        <v>45153</v>
      </c>
      <c r="B94" s="9" t="str">
        <f t="shared" si="1"/>
        <v>Tuesday</v>
      </c>
      <c r="C94" t="s">
        <v>39</v>
      </c>
      <c r="D94" t="s">
        <v>34</v>
      </c>
      <c r="E94" t="s">
        <v>79</v>
      </c>
      <c r="G94" t="s">
        <v>105</v>
      </c>
      <c r="H94" s="10">
        <v>0.45347222222222222</v>
      </c>
      <c r="I94" s="10">
        <v>0.66249999999999998</v>
      </c>
      <c r="J94">
        <v>560</v>
      </c>
      <c r="K94">
        <v>13</v>
      </c>
      <c r="L94" t="s">
        <v>42</v>
      </c>
      <c r="M94" s="11">
        <v>15940</v>
      </c>
      <c r="N94" t="s">
        <v>37</v>
      </c>
      <c r="O94">
        <v>18</v>
      </c>
      <c r="P94">
        <v>145</v>
      </c>
      <c r="Q94" s="11">
        <v>175</v>
      </c>
      <c r="R94">
        <v>15</v>
      </c>
      <c r="S94" t="s">
        <v>31</v>
      </c>
      <c r="T94" s="11">
        <v>207220</v>
      </c>
      <c r="U94" s="11">
        <v>25375</v>
      </c>
      <c r="V94" s="11">
        <v>181845</v>
      </c>
      <c r="W94" s="11">
        <v>3000</v>
      </c>
      <c r="X94" s="11">
        <v>178845</v>
      </c>
      <c r="Y94" s="12">
        <v>2</v>
      </c>
      <c r="Z94" t="s">
        <v>60</v>
      </c>
    </row>
    <row r="95" spans="1:26" x14ac:dyDescent="0.2">
      <c r="A95" s="9">
        <v>45154</v>
      </c>
      <c r="B95" s="9" t="str">
        <f t="shared" si="1"/>
        <v>Wednesday</v>
      </c>
      <c r="C95" t="s">
        <v>45</v>
      </c>
      <c r="D95" t="s">
        <v>79</v>
      </c>
      <c r="E95" t="s">
        <v>26</v>
      </c>
      <c r="G95" t="s">
        <v>81</v>
      </c>
      <c r="H95" s="10">
        <v>0.27847222222222223</v>
      </c>
      <c r="I95" s="10">
        <v>0.62013888888888891</v>
      </c>
      <c r="J95">
        <v>535</v>
      </c>
      <c r="K95">
        <v>17</v>
      </c>
      <c r="L95" t="s">
        <v>42</v>
      </c>
      <c r="M95" s="11">
        <v>15226</v>
      </c>
      <c r="N95" t="s">
        <v>76</v>
      </c>
      <c r="O95">
        <v>18</v>
      </c>
      <c r="P95">
        <v>89.17</v>
      </c>
      <c r="Q95" s="11">
        <v>175</v>
      </c>
      <c r="R95">
        <v>0</v>
      </c>
      <c r="S95" t="s">
        <v>59</v>
      </c>
      <c r="T95" s="11">
        <v>258842</v>
      </c>
      <c r="U95" s="11">
        <v>15604.75</v>
      </c>
      <c r="V95" s="11">
        <v>243237.25</v>
      </c>
      <c r="W95" s="11">
        <v>3000</v>
      </c>
      <c r="X95" s="11">
        <v>240237.25</v>
      </c>
      <c r="Y95" s="12">
        <v>3</v>
      </c>
      <c r="Z95" t="s">
        <v>51</v>
      </c>
    </row>
    <row r="96" spans="1:26" x14ac:dyDescent="0.2">
      <c r="A96" s="9">
        <v>45154</v>
      </c>
      <c r="B96" s="9" t="str">
        <f t="shared" si="1"/>
        <v>Wednesday</v>
      </c>
      <c r="C96" t="s">
        <v>52</v>
      </c>
      <c r="D96" t="s">
        <v>34</v>
      </c>
      <c r="E96" t="s">
        <v>53</v>
      </c>
      <c r="G96" t="s">
        <v>97</v>
      </c>
      <c r="H96" s="10">
        <v>0.33888888888888891</v>
      </c>
      <c r="I96" s="10">
        <v>0.6020833333333333</v>
      </c>
      <c r="J96">
        <v>650</v>
      </c>
      <c r="K96">
        <v>17</v>
      </c>
      <c r="L96" t="s">
        <v>29</v>
      </c>
      <c r="M96" s="11">
        <v>18509</v>
      </c>
      <c r="N96" t="s">
        <v>76</v>
      </c>
      <c r="O96">
        <v>18</v>
      </c>
      <c r="P96">
        <v>108.33</v>
      </c>
      <c r="Q96" s="11">
        <v>175</v>
      </c>
      <c r="R96">
        <v>45</v>
      </c>
      <c r="S96" t="s">
        <v>38</v>
      </c>
      <c r="T96" s="11">
        <v>314653</v>
      </c>
      <c r="U96" s="11">
        <v>18957.75</v>
      </c>
      <c r="V96" s="11">
        <v>295695.25</v>
      </c>
      <c r="W96" s="11">
        <v>3000</v>
      </c>
      <c r="X96" s="11">
        <v>292695.25</v>
      </c>
      <c r="Y96" s="12">
        <v>4</v>
      </c>
      <c r="Z96" t="s">
        <v>32</v>
      </c>
    </row>
    <row r="97" spans="1:26" x14ac:dyDescent="0.2">
      <c r="A97" s="9">
        <v>45155</v>
      </c>
      <c r="B97" s="9" t="str">
        <f t="shared" si="1"/>
        <v>Thursday</v>
      </c>
      <c r="C97" t="s">
        <v>94</v>
      </c>
      <c r="D97" t="s">
        <v>34</v>
      </c>
      <c r="E97" t="s">
        <v>46</v>
      </c>
      <c r="G97" t="s">
        <v>96</v>
      </c>
      <c r="H97" s="10">
        <v>0.30208333333333331</v>
      </c>
      <c r="I97" s="10">
        <v>0.73055555555555551</v>
      </c>
      <c r="J97">
        <v>580</v>
      </c>
      <c r="K97">
        <v>17</v>
      </c>
      <c r="L97" t="s">
        <v>42</v>
      </c>
      <c r="M97" s="11">
        <v>16507</v>
      </c>
      <c r="N97" t="s">
        <v>85</v>
      </c>
      <c r="O97">
        <v>18</v>
      </c>
      <c r="P97">
        <v>96.67</v>
      </c>
      <c r="Q97" s="11">
        <v>175</v>
      </c>
      <c r="R97">
        <v>19</v>
      </c>
      <c r="S97" t="s">
        <v>59</v>
      </c>
      <c r="T97" s="11">
        <v>280619</v>
      </c>
      <c r="U97" s="11">
        <v>16917.25</v>
      </c>
      <c r="V97" s="11">
        <v>263701.75</v>
      </c>
      <c r="W97" s="11">
        <v>3000</v>
      </c>
      <c r="X97" s="11">
        <v>260701.75</v>
      </c>
      <c r="Y97" s="12">
        <v>4</v>
      </c>
      <c r="Z97" t="s">
        <v>32</v>
      </c>
    </row>
    <row r="98" spans="1:26" x14ac:dyDescent="0.2">
      <c r="A98" s="9">
        <v>45157</v>
      </c>
      <c r="B98" s="9" t="str">
        <f t="shared" si="1"/>
        <v>Saturday</v>
      </c>
      <c r="C98" t="s">
        <v>84</v>
      </c>
      <c r="D98" t="s">
        <v>53</v>
      </c>
      <c r="E98" t="s">
        <v>35</v>
      </c>
      <c r="G98" t="s">
        <v>58</v>
      </c>
      <c r="H98" s="10">
        <v>0.43472222222222223</v>
      </c>
      <c r="I98" s="10">
        <v>0.86944444444444446</v>
      </c>
      <c r="J98">
        <v>835</v>
      </c>
      <c r="K98">
        <v>15</v>
      </c>
      <c r="L98" t="s">
        <v>29</v>
      </c>
      <c r="M98" s="11">
        <v>23762</v>
      </c>
      <c r="N98" t="s">
        <v>30</v>
      </c>
      <c r="O98">
        <v>18</v>
      </c>
      <c r="P98">
        <v>139.16999999999999</v>
      </c>
      <c r="Q98" s="11">
        <v>175</v>
      </c>
      <c r="R98">
        <v>36</v>
      </c>
      <c r="S98" t="s">
        <v>38</v>
      </c>
      <c r="T98" s="11">
        <v>356430</v>
      </c>
      <c r="U98" s="11">
        <v>24354.749999999996</v>
      </c>
      <c r="V98" s="11">
        <v>332075.25</v>
      </c>
      <c r="W98" s="11">
        <v>3000</v>
      </c>
      <c r="X98" s="11">
        <v>329075.25</v>
      </c>
      <c r="Y98" s="12">
        <v>1</v>
      </c>
      <c r="Z98" t="s">
        <v>44</v>
      </c>
    </row>
    <row r="99" spans="1:26" x14ac:dyDescent="0.2">
      <c r="A99" s="9">
        <v>45157</v>
      </c>
      <c r="B99" s="9" t="str">
        <f t="shared" si="1"/>
        <v>Saturday</v>
      </c>
      <c r="C99" t="s">
        <v>39</v>
      </c>
      <c r="D99" t="s">
        <v>40</v>
      </c>
      <c r="E99" t="s">
        <v>35</v>
      </c>
      <c r="G99" t="s">
        <v>107</v>
      </c>
      <c r="H99" s="10">
        <v>0.46388888888888891</v>
      </c>
      <c r="I99" s="10">
        <v>0.92013888888888884</v>
      </c>
      <c r="J99">
        <v>890</v>
      </c>
      <c r="K99">
        <v>16</v>
      </c>
      <c r="L99" t="s">
        <v>42</v>
      </c>
      <c r="M99" s="11">
        <v>25323</v>
      </c>
      <c r="N99" t="s">
        <v>30</v>
      </c>
      <c r="O99">
        <v>18</v>
      </c>
      <c r="P99">
        <v>148.33000000000001</v>
      </c>
      <c r="Q99" s="11">
        <v>175</v>
      </c>
      <c r="R99">
        <v>36</v>
      </c>
      <c r="S99" t="s">
        <v>38</v>
      </c>
      <c r="T99" s="11">
        <v>405168</v>
      </c>
      <c r="U99" s="11">
        <v>25957.750000000004</v>
      </c>
      <c r="V99" s="11">
        <v>379210.25</v>
      </c>
      <c r="W99" s="11">
        <v>3000</v>
      </c>
      <c r="X99" s="11">
        <v>376210.25</v>
      </c>
      <c r="Y99" s="12">
        <v>5</v>
      </c>
      <c r="Z99" t="s">
        <v>48</v>
      </c>
    </row>
    <row r="100" spans="1:26" x14ac:dyDescent="0.2">
      <c r="A100" s="9">
        <v>45160</v>
      </c>
      <c r="B100" s="9" t="str">
        <f t="shared" si="1"/>
        <v>Tuesday</v>
      </c>
      <c r="C100" t="s">
        <v>73</v>
      </c>
      <c r="D100" t="s">
        <v>79</v>
      </c>
      <c r="E100" t="s">
        <v>35</v>
      </c>
      <c r="G100" t="s">
        <v>98</v>
      </c>
      <c r="H100" s="10">
        <v>0.44791666666666669</v>
      </c>
      <c r="I100" s="10">
        <v>0.88125000000000009</v>
      </c>
      <c r="J100">
        <v>860</v>
      </c>
      <c r="K100">
        <v>14</v>
      </c>
      <c r="L100" t="s">
        <v>42</v>
      </c>
      <c r="M100" s="11">
        <v>24485</v>
      </c>
      <c r="N100" t="s">
        <v>37</v>
      </c>
      <c r="O100">
        <v>18</v>
      </c>
      <c r="P100">
        <v>143.33000000000001</v>
      </c>
      <c r="Q100" s="11">
        <v>175</v>
      </c>
      <c r="R100">
        <v>24</v>
      </c>
      <c r="S100" t="s">
        <v>59</v>
      </c>
      <c r="T100" s="11">
        <v>342790</v>
      </c>
      <c r="U100" s="11">
        <v>25082.750000000004</v>
      </c>
      <c r="V100" s="11">
        <v>317707.25</v>
      </c>
      <c r="W100" s="11">
        <v>3000</v>
      </c>
      <c r="X100" s="11">
        <v>314707.25</v>
      </c>
      <c r="Y100" s="12">
        <v>1</v>
      </c>
      <c r="Z100" t="s">
        <v>44</v>
      </c>
    </row>
    <row r="101" spans="1:26" x14ac:dyDescent="0.2">
      <c r="A101" s="9">
        <v>45160</v>
      </c>
      <c r="B101" s="9" t="str">
        <f t="shared" si="1"/>
        <v>Tuesday</v>
      </c>
      <c r="C101" t="s">
        <v>94</v>
      </c>
      <c r="D101" t="s">
        <v>34</v>
      </c>
      <c r="E101" t="s">
        <v>79</v>
      </c>
      <c r="G101" t="s">
        <v>105</v>
      </c>
      <c r="H101" s="10">
        <v>0.44305555555555554</v>
      </c>
      <c r="I101" s="10">
        <v>0.77083333333333326</v>
      </c>
      <c r="J101">
        <v>560</v>
      </c>
      <c r="K101">
        <v>14</v>
      </c>
      <c r="L101" t="s">
        <v>29</v>
      </c>
      <c r="M101" s="11">
        <v>15940</v>
      </c>
      <c r="N101" t="s">
        <v>43</v>
      </c>
      <c r="O101">
        <v>18</v>
      </c>
      <c r="P101">
        <v>80</v>
      </c>
      <c r="Q101" s="11">
        <v>175</v>
      </c>
      <c r="R101">
        <v>15</v>
      </c>
      <c r="S101" t="s">
        <v>59</v>
      </c>
      <c r="T101" s="11">
        <v>223160</v>
      </c>
      <c r="U101" s="11">
        <v>14000</v>
      </c>
      <c r="V101" s="11">
        <v>209160</v>
      </c>
      <c r="W101" s="11">
        <v>3000</v>
      </c>
      <c r="X101" s="11">
        <v>206160</v>
      </c>
      <c r="Y101" s="12">
        <v>3</v>
      </c>
      <c r="Z101" t="s">
        <v>51</v>
      </c>
    </row>
    <row r="102" spans="1:26" x14ac:dyDescent="0.2">
      <c r="A102" s="9">
        <v>45161</v>
      </c>
      <c r="B102" s="9" t="str">
        <f t="shared" si="1"/>
        <v>Wednesday</v>
      </c>
      <c r="C102" t="s">
        <v>82</v>
      </c>
      <c r="D102" t="s">
        <v>40</v>
      </c>
      <c r="E102" t="s">
        <v>34</v>
      </c>
      <c r="G102" t="s">
        <v>65</v>
      </c>
      <c r="H102" s="10">
        <v>0.35972222222222222</v>
      </c>
      <c r="I102" s="10">
        <v>0.5708333333333333</v>
      </c>
      <c r="J102">
        <v>690</v>
      </c>
      <c r="K102">
        <v>18</v>
      </c>
      <c r="L102" t="s">
        <v>42</v>
      </c>
      <c r="M102" s="11">
        <v>19636</v>
      </c>
      <c r="N102" t="s">
        <v>76</v>
      </c>
      <c r="O102">
        <v>18</v>
      </c>
      <c r="P102">
        <v>121</v>
      </c>
      <c r="Q102" s="11">
        <v>175</v>
      </c>
      <c r="R102">
        <v>35</v>
      </c>
      <c r="S102" t="s">
        <v>38</v>
      </c>
      <c r="T102" s="11">
        <v>353448</v>
      </c>
      <c r="U102" s="11">
        <v>21175</v>
      </c>
      <c r="V102" s="11">
        <v>332273</v>
      </c>
      <c r="W102" s="11">
        <v>3000</v>
      </c>
      <c r="X102" s="11">
        <v>329273</v>
      </c>
      <c r="Y102" s="12">
        <v>5</v>
      </c>
      <c r="Z102" t="s">
        <v>48</v>
      </c>
    </row>
    <row r="103" spans="1:26" x14ac:dyDescent="0.2">
      <c r="A103" s="9">
        <v>45162</v>
      </c>
      <c r="B103" s="9" t="str">
        <f t="shared" si="1"/>
        <v>Thursday</v>
      </c>
      <c r="C103" t="s">
        <v>84</v>
      </c>
      <c r="D103" t="s">
        <v>34</v>
      </c>
      <c r="E103" t="s">
        <v>40</v>
      </c>
      <c r="G103" t="s">
        <v>41</v>
      </c>
      <c r="H103" s="10">
        <v>0.35416666666666669</v>
      </c>
      <c r="I103" s="10">
        <v>0.73124999999999996</v>
      </c>
      <c r="J103">
        <v>690</v>
      </c>
      <c r="K103">
        <v>15</v>
      </c>
      <c r="L103" t="s">
        <v>29</v>
      </c>
      <c r="M103" s="11">
        <v>19636</v>
      </c>
      <c r="N103" t="s">
        <v>85</v>
      </c>
      <c r="O103">
        <v>18</v>
      </c>
      <c r="P103">
        <v>114</v>
      </c>
      <c r="Q103" s="11">
        <v>175</v>
      </c>
      <c r="R103">
        <v>0</v>
      </c>
      <c r="S103" t="s">
        <v>31</v>
      </c>
      <c r="T103" s="11">
        <v>294540</v>
      </c>
      <c r="U103" s="11">
        <v>19950</v>
      </c>
      <c r="V103" s="11">
        <v>274590</v>
      </c>
      <c r="W103" s="11">
        <v>3000</v>
      </c>
      <c r="X103" s="11">
        <v>271590</v>
      </c>
      <c r="Y103" s="12">
        <v>3</v>
      </c>
      <c r="Z103" t="s">
        <v>51</v>
      </c>
    </row>
    <row r="104" spans="1:26" x14ac:dyDescent="0.2">
      <c r="A104" s="9">
        <v>45162</v>
      </c>
      <c r="B104" s="9" t="str">
        <f t="shared" si="1"/>
        <v>Thursday</v>
      </c>
      <c r="C104" t="s">
        <v>61</v>
      </c>
      <c r="D104" t="s">
        <v>27</v>
      </c>
      <c r="E104" t="s">
        <v>26</v>
      </c>
      <c r="G104" t="s">
        <v>50</v>
      </c>
      <c r="H104" s="10">
        <v>0.23472222222222222</v>
      </c>
      <c r="I104" s="10">
        <v>0.54652777777777772</v>
      </c>
      <c r="J104">
        <v>450</v>
      </c>
      <c r="K104">
        <v>16</v>
      </c>
      <c r="L104" t="s">
        <v>42</v>
      </c>
      <c r="M104" s="11">
        <v>12806</v>
      </c>
      <c r="N104" t="s">
        <v>63</v>
      </c>
      <c r="O104">
        <v>18</v>
      </c>
      <c r="P104">
        <v>53</v>
      </c>
      <c r="Q104" s="11">
        <v>175</v>
      </c>
      <c r="R104">
        <v>6</v>
      </c>
      <c r="S104" t="s">
        <v>31</v>
      </c>
      <c r="T104" s="11">
        <v>204896</v>
      </c>
      <c r="U104" s="11">
        <v>9275</v>
      </c>
      <c r="V104" s="11">
        <v>195621</v>
      </c>
      <c r="W104" s="11">
        <v>3000</v>
      </c>
      <c r="X104" s="11">
        <v>192621</v>
      </c>
      <c r="Y104" s="12">
        <v>4</v>
      </c>
      <c r="Z104" t="s">
        <v>32</v>
      </c>
    </row>
    <row r="105" spans="1:26" x14ac:dyDescent="0.2">
      <c r="A105" s="9">
        <v>45162</v>
      </c>
      <c r="B105" s="9" t="str">
        <f t="shared" si="1"/>
        <v>Thursday</v>
      </c>
      <c r="C105" t="s">
        <v>57</v>
      </c>
      <c r="D105" t="s">
        <v>79</v>
      </c>
      <c r="E105" t="s">
        <v>40</v>
      </c>
      <c r="G105" t="s">
        <v>111</v>
      </c>
      <c r="H105" s="10">
        <v>0.26041666666666669</v>
      </c>
      <c r="I105" s="10">
        <v>0.55069444444444449</v>
      </c>
      <c r="J105">
        <v>620</v>
      </c>
      <c r="K105">
        <v>18</v>
      </c>
      <c r="L105" t="s">
        <v>42</v>
      </c>
      <c r="M105" s="11">
        <v>17655</v>
      </c>
      <c r="N105" t="s">
        <v>85</v>
      </c>
      <c r="O105">
        <v>18</v>
      </c>
      <c r="P105">
        <v>86</v>
      </c>
      <c r="Q105" s="11">
        <v>175</v>
      </c>
      <c r="R105">
        <v>45</v>
      </c>
      <c r="S105" t="s">
        <v>56</v>
      </c>
      <c r="T105" s="11">
        <v>317790</v>
      </c>
      <c r="U105" s="11">
        <v>15050</v>
      </c>
      <c r="V105" s="11">
        <v>302740</v>
      </c>
      <c r="W105" s="11">
        <v>3000</v>
      </c>
      <c r="X105" s="11">
        <v>299740</v>
      </c>
      <c r="Y105" s="12">
        <v>4</v>
      </c>
      <c r="Z105" t="s">
        <v>32</v>
      </c>
    </row>
    <row r="106" spans="1:26" x14ac:dyDescent="0.2">
      <c r="A106" s="9">
        <v>45163</v>
      </c>
      <c r="B106" s="9" t="str">
        <f t="shared" si="1"/>
        <v>Friday</v>
      </c>
      <c r="C106" t="s">
        <v>84</v>
      </c>
      <c r="D106" t="s">
        <v>27</v>
      </c>
      <c r="E106" t="s">
        <v>46</v>
      </c>
      <c r="G106" t="s">
        <v>83</v>
      </c>
      <c r="H106" s="10">
        <v>0.15625</v>
      </c>
      <c r="I106" s="10">
        <v>0.47847222222222224</v>
      </c>
      <c r="J106">
        <v>500</v>
      </c>
      <c r="K106">
        <v>15</v>
      </c>
      <c r="L106" t="s">
        <v>42</v>
      </c>
      <c r="M106" s="11">
        <v>14235</v>
      </c>
      <c r="N106" t="s">
        <v>66</v>
      </c>
      <c r="O106">
        <v>18</v>
      </c>
      <c r="P106">
        <v>57</v>
      </c>
      <c r="Q106" s="11">
        <v>175</v>
      </c>
      <c r="R106">
        <v>7</v>
      </c>
      <c r="S106" t="s">
        <v>56</v>
      </c>
      <c r="T106" s="11">
        <v>213525</v>
      </c>
      <c r="U106" s="11">
        <v>9975</v>
      </c>
      <c r="V106" s="11">
        <v>203550</v>
      </c>
      <c r="W106" s="11">
        <v>3000</v>
      </c>
      <c r="X106" s="11">
        <v>200550</v>
      </c>
      <c r="Y106" s="12">
        <v>1</v>
      </c>
      <c r="Z106" t="s">
        <v>44</v>
      </c>
    </row>
    <row r="107" spans="1:26" x14ac:dyDescent="0.2">
      <c r="A107" s="9">
        <v>45165</v>
      </c>
      <c r="B107" s="9" t="str">
        <f t="shared" si="1"/>
        <v>Sunday</v>
      </c>
      <c r="C107" t="s">
        <v>73</v>
      </c>
      <c r="D107" t="s">
        <v>40</v>
      </c>
      <c r="E107" t="s">
        <v>26</v>
      </c>
      <c r="G107" t="s">
        <v>67</v>
      </c>
      <c r="H107" s="10">
        <v>0.15138888888888888</v>
      </c>
      <c r="I107" s="10">
        <v>0.42986111111111114</v>
      </c>
      <c r="J107">
        <v>300</v>
      </c>
      <c r="K107">
        <v>15</v>
      </c>
      <c r="L107" t="s">
        <v>29</v>
      </c>
      <c r="M107" s="11">
        <v>8538</v>
      </c>
      <c r="N107" t="s">
        <v>85</v>
      </c>
      <c r="O107">
        <v>18</v>
      </c>
      <c r="P107">
        <v>36</v>
      </c>
      <c r="Q107" s="11">
        <v>175</v>
      </c>
      <c r="R107">
        <v>46</v>
      </c>
      <c r="S107" t="s">
        <v>38</v>
      </c>
      <c r="T107" s="11">
        <v>128070</v>
      </c>
      <c r="U107" s="11">
        <v>6300</v>
      </c>
      <c r="V107" s="11">
        <v>121770</v>
      </c>
      <c r="W107" s="11">
        <v>3000</v>
      </c>
      <c r="X107" s="11">
        <v>118770</v>
      </c>
      <c r="Y107" s="12">
        <v>5</v>
      </c>
      <c r="Z107" t="s">
        <v>48</v>
      </c>
    </row>
    <row r="108" spans="1:26" x14ac:dyDescent="0.2">
      <c r="A108" s="9">
        <v>45165</v>
      </c>
      <c r="B108" s="9" t="str">
        <f t="shared" si="1"/>
        <v>Sunday</v>
      </c>
      <c r="C108" t="s">
        <v>39</v>
      </c>
      <c r="D108" t="s">
        <v>79</v>
      </c>
      <c r="E108" t="s">
        <v>26</v>
      </c>
      <c r="G108" t="s">
        <v>81</v>
      </c>
      <c r="H108" s="10">
        <v>0.32013888888888886</v>
      </c>
      <c r="I108" s="10">
        <v>0.7583333333333333</v>
      </c>
      <c r="J108">
        <v>535</v>
      </c>
      <c r="K108">
        <v>15</v>
      </c>
      <c r="L108" t="s">
        <v>42</v>
      </c>
      <c r="M108" s="11">
        <v>15226</v>
      </c>
      <c r="N108" t="s">
        <v>85</v>
      </c>
      <c r="O108">
        <v>18</v>
      </c>
      <c r="P108">
        <v>67</v>
      </c>
      <c r="Q108" s="11">
        <v>175</v>
      </c>
      <c r="R108">
        <v>27</v>
      </c>
      <c r="S108" t="s">
        <v>38</v>
      </c>
      <c r="T108" s="11">
        <v>228390</v>
      </c>
      <c r="U108" s="11">
        <v>11725</v>
      </c>
      <c r="V108" s="11">
        <v>216665</v>
      </c>
      <c r="W108" s="11">
        <v>3000</v>
      </c>
      <c r="X108" s="11">
        <v>213665</v>
      </c>
      <c r="Y108" s="12">
        <v>5</v>
      </c>
      <c r="Z108" t="s">
        <v>48</v>
      </c>
    </row>
    <row r="109" spans="1:26" x14ac:dyDescent="0.2">
      <c r="A109" s="9">
        <v>45166</v>
      </c>
      <c r="B109" s="9" t="str">
        <f t="shared" si="1"/>
        <v>Monday</v>
      </c>
      <c r="C109" t="s">
        <v>73</v>
      </c>
      <c r="D109" t="s">
        <v>79</v>
      </c>
      <c r="E109" t="s">
        <v>35</v>
      </c>
      <c r="G109" t="s">
        <v>98</v>
      </c>
      <c r="H109" s="10">
        <v>0.32013888888888886</v>
      </c>
      <c r="I109" s="10">
        <v>0.53680555555555554</v>
      </c>
      <c r="J109">
        <v>860</v>
      </c>
      <c r="K109">
        <v>16</v>
      </c>
      <c r="L109" t="s">
        <v>29</v>
      </c>
      <c r="M109" s="11">
        <v>24485</v>
      </c>
      <c r="N109" t="s">
        <v>63</v>
      </c>
      <c r="O109">
        <v>18</v>
      </c>
      <c r="P109">
        <v>96</v>
      </c>
      <c r="Q109" s="11">
        <v>175</v>
      </c>
      <c r="R109">
        <v>50</v>
      </c>
      <c r="S109" t="s">
        <v>38</v>
      </c>
      <c r="T109" s="11">
        <v>391760</v>
      </c>
      <c r="U109" s="11">
        <v>16800</v>
      </c>
      <c r="V109" s="11">
        <v>374960</v>
      </c>
      <c r="W109" s="11">
        <v>3000</v>
      </c>
      <c r="X109" s="11">
        <v>371960</v>
      </c>
      <c r="Y109" s="12">
        <v>5</v>
      </c>
      <c r="Z109" t="s">
        <v>48</v>
      </c>
    </row>
    <row r="110" spans="1:26" x14ac:dyDescent="0.2">
      <c r="A110" s="9">
        <v>45166</v>
      </c>
      <c r="B110" s="9" t="str">
        <f t="shared" si="1"/>
        <v>Monday</v>
      </c>
      <c r="C110" t="s">
        <v>82</v>
      </c>
      <c r="D110" t="s">
        <v>26</v>
      </c>
      <c r="E110" t="s">
        <v>46</v>
      </c>
      <c r="G110" t="s">
        <v>93</v>
      </c>
      <c r="H110" s="10">
        <v>0.25</v>
      </c>
      <c r="I110" s="10">
        <v>0.51875000000000004</v>
      </c>
      <c r="J110">
        <v>290</v>
      </c>
      <c r="K110">
        <v>18</v>
      </c>
      <c r="L110" t="s">
        <v>42</v>
      </c>
      <c r="M110" s="11">
        <v>8259</v>
      </c>
      <c r="N110" t="s">
        <v>72</v>
      </c>
      <c r="O110">
        <v>18</v>
      </c>
      <c r="P110">
        <v>54</v>
      </c>
      <c r="Q110" s="11">
        <v>175</v>
      </c>
      <c r="R110">
        <v>24</v>
      </c>
      <c r="S110" t="s">
        <v>38</v>
      </c>
      <c r="T110" s="11">
        <v>148662</v>
      </c>
      <c r="U110" s="11">
        <v>9450</v>
      </c>
      <c r="V110" s="11">
        <v>139212</v>
      </c>
      <c r="W110" s="11">
        <v>3000</v>
      </c>
      <c r="X110" s="11">
        <v>136212</v>
      </c>
      <c r="Y110" s="12">
        <v>5</v>
      </c>
      <c r="Z110" t="s">
        <v>48</v>
      </c>
    </row>
    <row r="111" spans="1:26" x14ac:dyDescent="0.2">
      <c r="A111" s="9">
        <v>45168</v>
      </c>
      <c r="B111" s="9" t="str">
        <f t="shared" si="1"/>
        <v>Wednesday</v>
      </c>
      <c r="C111" t="s">
        <v>69</v>
      </c>
      <c r="D111" t="s">
        <v>26</v>
      </c>
      <c r="E111" t="s">
        <v>46</v>
      </c>
      <c r="G111" t="s">
        <v>93</v>
      </c>
      <c r="H111" s="10">
        <v>0.33055555555555555</v>
      </c>
      <c r="I111" s="10">
        <v>0.75902777777777775</v>
      </c>
      <c r="J111">
        <v>290</v>
      </c>
      <c r="K111">
        <v>14</v>
      </c>
      <c r="L111" t="s">
        <v>42</v>
      </c>
      <c r="M111" s="11">
        <v>8259</v>
      </c>
      <c r="N111" t="s">
        <v>55</v>
      </c>
      <c r="O111">
        <v>18</v>
      </c>
      <c r="P111">
        <v>54</v>
      </c>
      <c r="Q111" s="11">
        <v>175</v>
      </c>
      <c r="R111">
        <v>17</v>
      </c>
      <c r="S111" t="s">
        <v>56</v>
      </c>
      <c r="T111" s="11">
        <v>115626</v>
      </c>
      <c r="U111" s="11">
        <v>9450</v>
      </c>
      <c r="V111" s="11">
        <v>106176</v>
      </c>
      <c r="W111" s="11">
        <v>3000</v>
      </c>
      <c r="X111" s="11">
        <v>103176</v>
      </c>
      <c r="Y111" s="12">
        <v>3</v>
      </c>
      <c r="Z111" t="s">
        <v>51</v>
      </c>
    </row>
    <row r="112" spans="1:26" x14ac:dyDescent="0.2">
      <c r="A112" s="9">
        <v>45168</v>
      </c>
      <c r="B112" s="9" t="str">
        <f t="shared" si="1"/>
        <v>Wednesday</v>
      </c>
      <c r="C112" t="s">
        <v>64</v>
      </c>
      <c r="D112" t="s">
        <v>40</v>
      </c>
      <c r="E112" t="s">
        <v>53</v>
      </c>
      <c r="G112" t="s">
        <v>70</v>
      </c>
      <c r="H112" s="10">
        <v>6.805555555555555E-2</v>
      </c>
      <c r="I112" s="10">
        <v>0.30555555555555552</v>
      </c>
      <c r="J112">
        <v>615</v>
      </c>
      <c r="K112">
        <v>18</v>
      </c>
      <c r="L112" t="s">
        <v>42</v>
      </c>
      <c r="M112" s="11">
        <v>17505</v>
      </c>
      <c r="N112" t="s">
        <v>55</v>
      </c>
      <c r="O112">
        <v>18</v>
      </c>
      <c r="P112">
        <v>102.5</v>
      </c>
      <c r="Q112" s="11">
        <v>175</v>
      </c>
      <c r="R112">
        <v>11</v>
      </c>
      <c r="S112" t="s">
        <v>56</v>
      </c>
      <c r="T112" s="11">
        <v>315090</v>
      </c>
      <c r="U112" s="11">
        <v>17937.5</v>
      </c>
      <c r="V112" s="11">
        <v>297152.5</v>
      </c>
      <c r="W112" s="11">
        <v>3000</v>
      </c>
      <c r="X112" s="11">
        <v>294152.5</v>
      </c>
      <c r="Y112" s="12">
        <v>4</v>
      </c>
      <c r="Z112" t="s">
        <v>32</v>
      </c>
    </row>
    <row r="113" spans="1:26" x14ac:dyDescent="0.2">
      <c r="A113" s="9">
        <v>45168</v>
      </c>
      <c r="B113" s="9" t="str">
        <f t="shared" si="1"/>
        <v>Wednesday</v>
      </c>
      <c r="C113" t="s">
        <v>39</v>
      </c>
      <c r="D113" t="s">
        <v>53</v>
      </c>
      <c r="E113" t="s">
        <v>40</v>
      </c>
      <c r="G113" t="s">
        <v>95</v>
      </c>
      <c r="H113" s="10">
        <v>0.27847222222222223</v>
      </c>
      <c r="I113" s="10">
        <v>0.61111111111111116</v>
      </c>
      <c r="J113">
        <v>615</v>
      </c>
      <c r="K113">
        <v>15</v>
      </c>
      <c r="L113" t="s">
        <v>29</v>
      </c>
      <c r="M113" s="11">
        <v>17505</v>
      </c>
      <c r="N113" t="s">
        <v>37</v>
      </c>
      <c r="O113">
        <v>18</v>
      </c>
      <c r="P113">
        <v>86</v>
      </c>
      <c r="Q113" s="11">
        <v>175</v>
      </c>
      <c r="R113">
        <v>27</v>
      </c>
      <c r="S113" t="s">
        <v>31</v>
      </c>
      <c r="T113" s="11">
        <v>262575</v>
      </c>
      <c r="U113" s="11">
        <v>15050</v>
      </c>
      <c r="V113" s="11">
        <v>247525</v>
      </c>
      <c r="W113" s="11">
        <v>3000</v>
      </c>
      <c r="X113" s="11">
        <v>244525</v>
      </c>
      <c r="Y113" s="12">
        <v>5</v>
      </c>
      <c r="Z113" t="s">
        <v>48</v>
      </c>
    </row>
    <row r="114" spans="1:26" x14ac:dyDescent="0.2">
      <c r="A114" s="9">
        <v>45168</v>
      </c>
      <c r="B114" s="9" t="str">
        <f t="shared" si="1"/>
        <v>Wednesday</v>
      </c>
      <c r="C114" t="s">
        <v>49</v>
      </c>
      <c r="D114" t="s">
        <v>34</v>
      </c>
      <c r="E114" t="s">
        <v>53</v>
      </c>
      <c r="G114" t="s">
        <v>97</v>
      </c>
      <c r="H114" s="10">
        <v>0.15625</v>
      </c>
      <c r="I114" s="10">
        <v>0.47013888888888888</v>
      </c>
      <c r="J114">
        <v>650</v>
      </c>
      <c r="K114">
        <v>14</v>
      </c>
      <c r="L114" t="s">
        <v>29</v>
      </c>
      <c r="M114" s="11">
        <v>18509</v>
      </c>
      <c r="N114" t="s">
        <v>72</v>
      </c>
      <c r="O114">
        <v>18</v>
      </c>
      <c r="P114">
        <v>111</v>
      </c>
      <c r="Q114" s="11">
        <v>175</v>
      </c>
      <c r="R114">
        <v>35</v>
      </c>
      <c r="S114" t="s">
        <v>38</v>
      </c>
      <c r="T114" s="11">
        <v>259126</v>
      </c>
      <c r="U114" s="11">
        <v>19425</v>
      </c>
      <c r="V114" s="11">
        <v>239701</v>
      </c>
      <c r="W114" s="11">
        <v>3000</v>
      </c>
      <c r="X114" s="11">
        <v>236701</v>
      </c>
      <c r="Y114" s="12">
        <v>1</v>
      </c>
      <c r="Z114" t="s">
        <v>44</v>
      </c>
    </row>
    <row r="115" spans="1:26" x14ac:dyDescent="0.2">
      <c r="A115" s="9">
        <v>45169</v>
      </c>
      <c r="B115" s="9" t="str">
        <f t="shared" si="1"/>
        <v>Thursday</v>
      </c>
      <c r="C115" t="s">
        <v>25</v>
      </c>
      <c r="D115" t="s">
        <v>27</v>
      </c>
      <c r="E115" t="s">
        <v>35</v>
      </c>
      <c r="G115" t="s">
        <v>104</v>
      </c>
      <c r="H115" s="10">
        <v>0.39097222222222222</v>
      </c>
      <c r="I115" s="10">
        <v>0.67986111111111103</v>
      </c>
      <c r="J115">
        <v>360</v>
      </c>
      <c r="K115">
        <v>15</v>
      </c>
      <c r="L115" t="s">
        <v>42</v>
      </c>
      <c r="M115" s="11">
        <v>7000</v>
      </c>
      <c r="N115" t="s">
        <v>55</v>
      </c>
      <c r="O115">
        <v>18</v>
      </c>
      <c r="P115">
        <v>51</v>
      </c>
      <c r="Q115" s="11">
        <v>175</v>
      </c>
      <c r="R115">
        <v>42</v>
      </c>
      <c r="S115" t="s">
        <v>38</v>
      </c>
      <c r="T115" s="11">
        <v>105000</v>
      </c>
      <c r="U115" s="11">
        <v>8925</v>
      </c>
      <c r="V115" s="11">
        <v>96075</v>
      </c>
      <c r="W115" s="11">
        <v>3000</v>
      </c>
      <c r="X115" s="11">
        <v>93075</v>
      </c>
      <c r="Y115" s="12">
        <v>3</v>
      </c>
      <c r="Z115" t="s">
        <v>51</v>
      </c>
    </row>
    <row r="116" spans="1:26" x14ac:dyDescent="0.2">
      <c r="A116" s="9">
        <v>45169</v>
      </c>
      <c r="B116" s="9" t="str">
        <f t="shared" si="1"/>
        <v>Thursday</v>
      </c>
      <c r="C116" t="s">
        <v>61</v>
      </c>
      <c r="D116" t="s">
        <v>53</v>
      </c>
      <c r="E116" t="s">
        <v>40</v>
      </c>
      <c r="G116" t="s">
        <v>95</v>
      </c>
      <c r="H116" s="10">
        <v>0.30208333333333331</v>
      </c>
      <c r="I116" s="10">
        <v>0.61874999999999991</v>
      </c>
      <c r="J116">
        <v>615</v>
      </c>
      <c r="K116">
        <v>18</v>
      </c>
      <c r="L116" t="s">
        <v>42</v>
      </c>
      <c r="M116" s="11">
        <v>17505</v>
      </c>
      <c r="N116" t="s">
        <v>85</v>
      </c>
      <c r="O116">
        <v>18</v>
      </c>
      <c r="P116">
        <v>86</v>
      </c>
      <c r="Q116" s="11">
        <v>175</v>
      </c>
      <c r="R116">
        <v>25</v>
      </c>
      <c r="S116" t="s">
        <v>38</v>
      </c>
      <c r="T116" s="11">
        <v>315090</v>
      </c>
      <c r="U116" s="11">
        <v>15050</v>
      </c>
      <c r="V116" s="11">
        <v>300040</v>
      </c>
      <c r="W116" s="11">
        <v>3000</v>
      </c>
      <c r="X116" s="11">
        <v>297040</v>
      </c>
      <c r="Y116" s="12">
        <v>4</v>
      </c>
      <c r="Z116" t="s">
        <v>32</v>
      </c>
    </row>
    <row r="117" spans="1:26" x14ac:dyDescent="0.2">
      <c r="A117" s="9">
        <v>45170</v>
      </c>
      <c r="B117" s="9" t="str">
        <f t="shared" si="1"/>
        <v>Friday</v>
      </c>
      <c r="C117" t="s">
        <v>61</v>
      </c>
      <c r="D117" t="s">
        <v>34</v>
      </c>
      <c r="E117" t="s">
        <v>26</v>
      </c>
      <c r="G117" t="s">
        <v>112</v>
      </c>
      <c r="H117" s="10">
        <v>0.45347222222222222</v>
      </c>
      <c r="I117" s="10">
        <v>0.72361111111111109</v>
      </c>
      <c r="J117">
        <v>635</v>
      </c>
      <c r="K117">
        <v>16</v>
      </c>
      <c r="L117" t="s">
        <v>29</v>
      </c>
      <c r="M117" s="11">
        <v>18077</v>
      </c>
      <c r="N117" t="s">
        <v>72</v>
      </c>
      <c r="O117">
        <v>18</v>
      </c>
      <c r="P117">
        <v>84</v>
      </c>
      <c r="Q117" s="11">
        <v>175</v>
      </c>
      <c r="R117">
        <v>34</v>
      </c>
      <c r="S117" t="s">
        <v>59</v>
      </c>
      <c r="T117" s="11">
        <v>289232</v>
      </c>
      <c r="U117" s="11">
        <v>14700</v>
      </c>
      <c r="V117" s="11">
        <v>274532</v>
      </c>
      <c r="W117" s="11">
        <v>3000</v>
      </c>
      <c r="X117" s="11">
        <v>271532</v>
      </c>
      <c r="Y117" s="12">
        <v>1</v>
      </c>
      <c r="Z117" t="s">
        <v>44</v>
      </c>
    </row>
    <row r="118" spans="1:26" x14ac:dyDescent="0.2">
      <c r="A118" s="9">
        <v>45171</v>
      </c>
      <c r="B118" s="9" t="str">
        <f t="shared" si="1"/>
        <v>Saturday</v>
      </c>
      <c r="C118" t="s">
        <v>57</v>
      </c>
      <c r="D118" t="s">
        <v>79</v>
      </c>
      <c r="E118" t="s">
        <v>40</v>
      </c>
      <c r="G118" t="s">
        <v>111</v>
      </c>
      <c r="H118" s="10">
        <v>0.14097222222222222</v>
      </c>
      <c r="I118" s="10">
        <v>0.57291666666666674</v>
      </c>
      <c r="J118">
        <v>620</v>
      </c>
      <c r="K118">
        <v>17</v>
      </c>
      <c r="L118" t="s">
        <v>29</v>
      </c>
      <c r="M118" s="11">
        <v>17655</v>
      </c>
      <c r="N118" t="s">
        <v>43</v>
      </c>
      <c r="O118">
        <v>18</v>
      </c>
      <c r="P118">
        <v>86</v>
      </c>
      <c r="Q118" s="11">
        <v>175</v>
      </c>
      <c r="R118">
        <v>32</v>
      </c>
      <c r="S118" t="s">
        <v>38</v>
      </c>
      <c r="T118" s="11">
        <v>300135</v>
      </c>
      <c r="U118" s="11">
        <v>15050</v>
      </c>
      <c r="V118" s="11">
        <v>285085</v>
      </c>
      <c r="W118" s="11">
        <v>3000</v>
      </c>
      <c r="X118" s="11">
        <v>282085</v>
      </c>
      <c r="Y118" s="12">
        <v>5</v>
      </c>
      <c r="Z118" t="s">
        <v>48</v>
      </c>
    </row>
    <row r="119" spans="1:26" x14ac:dyDescent="0.2">
      <c r="A119" s="9">
        <v>45171</v>
      </c>
      <c r="B119" s="9" t="str">
        <f t="shared" si="1"/>
        <v>Saturday</v>
      </c>
      <c r="C119" t="s">
        <v>61</v>
      </c>
      <c r="D119" t="s">
        <v>53</v>
      </c>
      <c r="E119" t="s">
        <v>40</v>
      </c>
      <c r="G119" t="s">
        <v>95</v>
      </c>
      <c r="H119" s="10">
        <v>0.23472222222222222</v>
      </c>
      <c r="I119" s="10">
        <v>0.67083333333333339</v>
      </c>
      <c r="J119">
        <v>615</v>
      </c>
      <c r="K119">
        <v>16</v>
      </c>
      <c r="L119" t="s">
        <v>42</v>
      </c>
      <c r="M119" s="11">
        <v>17505</v>
      </c>
      <c r="N119" t="s">
        <v>55</v>
      </c>
      <c r="O119">
        <v>18</v>
      </c>
      <c r="P119">
        <v>86</v>
      </c>
      <c r="Q119" s="11">
        <v>175</v>
      </c>
      <c r="R119">
        <v>33</v>
      </c>
      <c r="S119" t="s">
        <v>38</v>
      </c>
      <c r="T119" s="11">
        <v>280080</v>
      </c>
      <c r="U119" s="11">
        <v>15050</v>
      </c>
      <c r="V119" s="11">
        <v>265030</v>
      </c>
      <c r="W119" s="11">
        <v>3000</v>
      </c>
      <c r="X119" s="11">
        <v>262030</v>
      </c>
      <c r="Y119" s="12">
        <v>4</v>
      </c>
      <c r="Z119" t="s">
        <v>32</v>
      </c>
    </row>
    <row r="120" spans="1:26" x14ac:dyDescent="0.2">
      <c r="A120" s="9">
        <v>45172</v>
      </c>
      <c r="B120" s="9" t="str">
        <f t="shared" si="1"/>
        <v>Sunday</v>
      </c>
      <c r="C120" t="s">
        <v>61</v>
      </c>
      <c r="D120" t="s">
        <v>53</v>
      </c>
      <c r="E120" t="s">
        <v>79</v>
      </c>
      <c r="G120" t="s">
        <v>86</v>
      </c>
      <c r="H120" s="10">
        <v>0.33055555555555555</v>
      </c>
      <c r="I120" s="10">
        <v>0.75763888888888886</v>
      </c>
      <c r="J120">
        <v>130</v>
      </c>
      <c r="K120">
        <v>16</v>
      </c>
      <c r="L120" t="s">
        <v>42</v>
      </c>
      <c r="M120" s="11">
        <v>3702</v>
      </c>
      <c r="N120" t="s">
        <v>30</v>
      </c>
      <c r="O120">
        <v>18</v>
      </c>
      <c r="P120">
        <v>19</v>
      </c>
      <c r="Q120" s="11">
        <v>175</v>
      </c>
      <c r="R120">
        <v>34</v>
      </c>
      <c r="S120" t="s">
        <v>38</v>
      </c>
      <c r="T120" s="11">
        <v>59232</v>
      </c>
      <c r="U120" s="11">
        <v>3325</v>
      </c>
      <c r="V120" s="11">
        <v>55907</v>
      </c>
      <c r="W120" s="11">
        <v>3000</v>
      </c>
      <c r="X120" s="11">
        <v>52907</v>
      </c>
      <c r="Y120" s="12">
        <v>5</v>
      </c>
      <c r="Z120" t="s">
        <v>48</v>
      </c>
    </row>
    <row r="121" spans="1:26" x14ac:dyDescent="0.2">
      <c r="A121" s="9">
        <v>45172</v>
      </c>
      <c r="B121" s="9" t="str">
        <f t="shared" si="1"/>
        <v>Sunday</v>
      </c>
      <c r="C121" t="s">
        <v>82</v>
      </c>
      <c r="D121" t="s">
        <v>27</v>
      </c>
      <c r="E121" t="s">
        <v>35</v>
      </c>
      <c r="G121" t="s">
        <v>104</v>
      </c>
      <c r="H121" s="10">
        <v>0.46388888888888891</v>
      </c>
      <c r="I121" s="10">
        <v>0.79930555555555549</v>
      </c>
      <c r="J121">
        <v>360</v>
      </c>
      <c r="K121">
        <v>17</v>
      </c>
      <c r="L121" t="s">
        <v>29</v>
      </c>
      <c r="M121" s="11">
        <v>7000</v>
      </c>
      <c r="N121" t="s">
        <v>55</v>
      </c>
      <c r="O121">
        <v>18</v>
      </c>
      <c r="P121">
        <v>51</v>
      </c>
      <c r="Q121" s="11">
        <v>175</v>
      </c>
      <c r="R121">
        <v>40</v>
      </c>
      <c r="S121" t="s">
        <v>59</v>
      </c>
      <c r="T121" s="11">
        <v>119000</v>
      </c>
      <c r="U121" s="11">
        <v>8925</v>
      </c>
      <c r="V121" s="11">
        <v>110075</v>
      </c>
      <c r="W121" s="11">
        <v>3000</v>
      </c>
      <c r="X121" s="11">
        <v>107075</v>
      </c>
      <c r="Y121" s="12">
        <v>3</v>
      </c>
      <c r="Z121" t="s">
        <v>51</v>
      </c>
    </row>
    <row r="122" spans="1:26" x14ac:dyDescent="0.2">
      <c r="A122" s="9">
        <v>45172</v>
      </c>
      <c r="B122" s="9" t="str">
        <f t="shared" si="1"/>
        <v>Sunday</v>
      </c>
      <c r="C122" t="s">
        <v>39</v>
      </c>
      <c r="D122" t="s">
        <v>26</v>
      </c>
      <c r="E122" t="s">
        <v>79</v>
      </c>
      <c r="G122" t="s">
        <v>113</v>
      </c>
      <c r="H122" s="10">
        <v>0.26041666666666669</v>
      </c>
      <c r="I122" s="10">
        <v>0.70833333333333337</v>
      </c>
      <c r="J122">
        <v>535</v>
      </c>
      <c r="K122">
        <v>15</v>
      </c>
      <c r="L122" t="s">
        <v>42</v>
      </c>
      <c r="M122" s="11">
        <v>15226</v>
      </c>
      <c r="N122" t="s">
        <v>68</v>
      </c>
      <c r="O122">
        <v>18</v>
      </c>
      <c r="P122">
        <v>67</v>
      </c>
      <c r="Q122" s="11">
        <v>175</v>
      </c>
      <c r="R122">
        <v>48</v>
      </c>
      <c r="S122" t="s">
        <v>38</v>
      </c>
      <c r="T122" s="11">
        <v>228390</v>
      </c>
      <c r="U122" s="11">
        <v>11725</v>
      </c>
      <c r="V122" s="11">
        <v>216665</v>
      </c>
      <c r="W122" s="11">
        <v>3000</v>
      </c>
      <c r="X122" s="11">
        <v>213665</v>
      </c>
      <c r="Y122" s="12">
        <v>1</v>
      </c>
      <c r="Z122" t="s">
        <v>44</v>
      </c>
    </row>
    <row r="123" spans="1:26" x14ac:dyDescent="0.2">
      <c r="A123" s="9">
        <v>45172</v>
      </c>
      <c r="B123" s="9" t="str">
        <f t="shared" si="1"/>
        <v>Sunday</v>
      </c>
      <c r="C123" t="s">
        <v>39</v>
      </c>
      <c r="D123" t="s">
        <v>26</v>
      </c>
      <c r="E123" t="s">
        <v>40</v>
      </c>
      <c r="G123" t="s">
        <v>114</v>
      </c>
      <c r="H123" s="10">
        <v>0.25</v>
      </c>
      <c r="I123" s="10">
        <v>0.54236111111111107</v>
      </c>
      <c r="J123">
        <v>300</v>
      </c>
      <c r="K123">
        <v>17</v>
      </c>
      <c r="L123" t="s">
        <v>42</v>
      </c>
      <c r="M123" s="11">
        <v>8538</v>
      </c>
      <c r="N123" t="s">
        <v>63</v>
      </c>
      <c r="O123">
        <v>18</v>
      </c>
      <c r="P123">
        <v>36</v>
      </c>
      <c r="Q123" s="11">
        <v>175</v>
      </c>
      <c r="R123">
        <v>35</v>
      </c>
      <c r="S123" t="s">
        <v>31</v>
      </c>
      <c r="T123" s="11">
        <v>145146</v>
      </c>
      <c r="U123" s="11">
        <v>6300</v>
      </c>
      <c r="V123" s="11">
        <v>138846</v>
      </c>
      <c r="W123" s="11">
        <v>3000</v>
      </c>
      <c r="X123" s="11">
        <v>135846</v>
      </c>
      <c r="Y123" s="12">
        <v>5</v>
      </c>
      <c r="Z123" t="s">
        <v>48</v>
      </c>
    </row>
    <row r="124" spans="1:26" x14ac:dyDescent="0.2">
      <c r="A124" s="9">
        <v>45173</v>
      </c>
      <c r="B124" s="9" t="str">
        <f t="shared" si="1"/>
        <v>Monday</v>
      </c>
      <c r="C124" t="s">
        <v>49</v>
      </c>
      <c r="D124" t="s">
        <v>79</v>
      </c>
      <c r="E124" t="s">
        <v>40</v>
      </c>
      <c r="G124" t="s">
        <v>111</v>
      </c>
      <c r="H124" s="10">
        <v>0.25</v>
      </c>
      <c r="I124" s="10">
        <v>0.56944444444444442</v>
      </c>
      <c r="J124">
        <v>620</v>
      </c>
      <c r="K124">
        <v>17</v>
      </c>
      <c r="L124" t="s">
        <v>42</v>
      </c>
      <c r="M124" s="11">
        <v>17655</v>
      </c>
      <c r="N124" t="s">
        <v>85</v>
      </c>
      <c r="O124">
        <v>18</v>
      </c>
      <c r="P124">
        <v>86</v>
      </c>
      <c r="Q124" s="11">
        <v>175</v>
      </c>
      <c r="R124">
        <v>35</v>
      </c>
      <c r="S124" t="s">
        <v>31</v>
      </c>
      <c r="T124" s="11">
        <v>300135</v>
      </c>
      <c r="U124" s="11">
        <v>15050</v>
      </c>
      <c r="V124" s="11">
        <v>285085</v>
      </c>
      <c r="W124" s="11">
        <v>3000</v>
      </c>
      <c r="X124" s="11">
        <v>282085</v>
      </c>
      <c r="Y124" s="12">
        <v>2</v>
      </c>
      <c r="Z124" t="s">
        <v>60</v>
      </c>
    </row>
    <row r="125" spans="1:26" x14ac:dyDescent="0.2">
      <c r="A125" s="9">
        <v>45175</v>
      </c>
      <c r="B125" s="9" t="str">
        <f t="shared" si="1"/>
        <v>Wednesday</v>
      </c>
      <c r="C125" t="s">
        <v>25</v>
      </c>
      <c r="D125" t="s">
        <v>53</v>
      </c>
      <c r="E125" t="s">
        <v>40</v>
      </c>
      <c r="G125" t="s">
        <v>95</v>
      </c>
      <c r="H125" s="10">
        <v>0.45833333333333331</v>
      </c>
      <c r="I125" s="10">
        <v>0.86527777777777781</v>
      </c>
      <c r="J125">
        <v>615</v>
      </c>
      <c r="K125">
        <v>17</v>
      </c>
      <c r="L125" t="s">
        <v>29</v>
      </c>
      <c r="M125" s="11">
        <v>17505</v>
      </c>
      <c r="N125" t="s">
        <v>55</v>
      </c>
      <c r="O125">
        <v>18</v>
      </c>
      <c r="P125">
        <v>86</v>
      </c>
      <c r="Q125" s="11">
        <v>175</v>
      </c>
      <c r="R125">
        <v>42</v>
      </c>
      <c r="S125" t="s">
        <v>59</v>
      </c>
      <c r="T125" s="11">
        <v>297585</v>
      </c>
      <c r="U125" s="11">
        <v>15050</v>
      </c>
      <c r="V125" s="11">
        <v>282535</v>
      </c>
      <c r="W125" s="11">
        <v>3000</v>
      </c>
      <c r="X125" s="11">
        <v>279535</v>
      </c>
      <c r="Y125" s="12">
        <v>3</v>
      </c>
      <c r="Z125" t="s">
        <v>51</v>
      </c>
    </row>
    <row r="126" spans="1:26" x14ac:dyDescent="0.2">
      <c r="A126" s="9">
        <v>45175</v>
      </c>
      <c r="B126" s="9" t="str">
        <f t="shared" si="1"/>
        <v>Wednesday</v>
      </c>
      <c r="C126" t="s">
        <v>45</v>
      </c>
      <c r="D126" t="s">
        <v>53</v>
      </c>
      <c r="E126" t="s">
        <v>27</v>
      </c>
      <c r="G126" t="s">
        <v>54</v>
      </c>
      <c r="H126" s="10">
        <v>0.45833333333333331</v>
      </c>
      <c r="I126" s="10">
        <v>0.71319444444444446</v>
      </c>
      <c r="J126">
        <v>750</v>
      </c>
      <c r="K126">
        <v>14</v>
      </c>
      <c r="L126" t="s">
        <v>29</v>
      </c>
      <c r="M126" s="11">
        <v>21344</v>
      </c>
      <c r="N126" t="s">
        <v>66</v>
      </c>
      <c r="O126">
        <v>18</v>
      </c>
      <c r="P126">
        <v>125</v>
      </c>
      <c r="Q126" s="11">
        <v>175</v>
      </c>
      <c r="R126">
        <v>28</v>
      </c>
      <c r="S126" t="s">
        <v>59</v>
      </c>
      <c r="T126" s="11">
        <v>298816</v>
      </c>
      <c r="U126" s="11">
        <v>21875</v>
      </c>
      <c r="V126" s="11">
        <v>276941</v>
      </c>
      <c r="W126" s="11">
        <v>3000</v>
      </c>
      <c r="X126" s="11">
        <v>273941</v>
      </c>
      <c r="Y126" s="12">
        <v>1</v>
      </c>
      <c r="Z126" t="s">
        <v>44</v>
      </c>
    </row>
    <row r="127" spans="1:26" x14ac:dyDescent="0.2">
      <c r="A127" s="9">
        <v>45178</v>
      </c>
      <c r="B127" s="9" t="str">
        <f t="shared" si="1"/>
        <v>Saturday</v>
      </c>
      <c r="C127" t="s">
        <v>61</v>
      </c>
      <c r="D127" t="s">
        <v>27</v>
      </c>
      <c r="E127" t="s">
        <v>79</v>
      </c>
      <c r="G127" t="s">
        <v>80</v>
      </c>
      <c r="H127" s="10">
        <v>0.4375</v>
      </c>
      <c r="I127" s="10">
        <v>0.65</v>
      </c>
      <c r="J127">
        <v>580</v>
      </c>
      <c r="K127">
        <v>15</v>
      </c>
      <c r="L127" t="s">
        <v>42</v>
      </c>
      <c r="M127" s="11">
        <v>16507</v>
      </c>
      <c r="N127" t="s">
        <v>68</v>
      </c>
      <c r="O127">
        <v>18</v>
      </c>
      <c r="P127">
        <v>96.67</v>
      </c>
      <c r="Q127" s="11">
        <v>175</v>
      </c>
      <c r="R127">
        <v>14</v>
      </c>
      <c r="S127" t="s">
        <v>31</v>
      </c>
      <c r="T127" s="11">
        <v>247605</v>
      </c>
      <c r="U127" s="11">
        <v>16917.25</v>
      </c>
      <c r="V127" s="11">
        <v>230687.75</v>
      </c>
      <c r="W127" s="11">
        <v>3000</v>
      </c>
      <c r="X127" s="11">
        <v>227687.75</v>
      </c>
      <c r="Y127" s="12">
        <v>1</v>
      </c>
      <c r="Z127" t="s">
        <v>44</v>
      </c>
    </row>
    <row r="128" spans="1:26" x14ac:dyDescent="0.2">
      <c r="A128" s="9">
        <v>45179</v>
      </c>
      <c r="B128" s="9" t="str">
        <f t="shared" si="1"/>
        <v>Sunday</v>
      </c>
      <c r="C128" t="s">
        <v>33</v>
      </c>
      <c r="D128" t="s">
        <v>79</v>
      </c>
      <c r="E128" t="s">
        <v>26</v>
      </c>
      <c r="G128" t="s">
        <v>81</v>
      </c>
      <c r="H128" s="10">
        <v>0.375</v>
      </c>
      <c r="I128" s="10">
        <v>0.81111111111111112</v>
      </c>
      <c r="J128">
        <v>535</v>
      </c>
      <c r="K128">
        <v>16</v>
      </c>
      <c r="L128" t="s">
        <v>29</v>
      </c>
      <c r="M128" s="11">
        <v>15226</v>
      </c>
      <c r="N128" t="s">
        <v>37</v>
      </c>
      <c r="O128">
        <v>18</v>
      </c>
      <c r="P128">
        <v>89.17</v>
      </c>
      <c r="Q128" s="11">
        <v>175</v>
      </c>
      <c r="R128">
        <v>14</v>
      </c>
      <c r="S128" t="s">
        <v>56</v>
      </c>
      <c r="T128" s="11">
        <v>243616</v>
      </c>
      <c r="U128" s="11">
        <v>15604.75</v>
      </c>
      <c r="V128" s="11">
        <v>228011.25</v>
      </c>
      <c r="W128" s="11">
        <v>3000</v>
      </c>
      <c r="X128" s="11">
        <v>225011.25</v>
      </c>
      <c r="Y128" s="12">
        <v>3</v>
      </c>
      <c r="Z128" t="s">
        <v>51</v>
      </c>
    </row>
    <row r="129" spans="1:26" x14ac:dyDescent="0.2">
      <c r="A129" s="9">
        <v>45180</v>
      </c>
      <c r="B129" s="9" t="str">
        <f t="shared" si="1"/>
        <v>Monday</v>
      </c>
      <c r="C129" t="s">
        <v>25</v>
      </c>
      <c r="D129" t="s">
        <v>40</v>
      </c>
      <c r="E129" t="s">
        <v>53</v>
      </c>
      <c r="G129" t="s">
        <v>70</v>
      </c>
      <c r="H129" s="10">
        <v>0.41666666666666669</v>
      </c>
      <c r="I129" s="10">
        <v>0.74791666666666667</v>
      </c>
      <c r="J129">
        <v>615</v>
      </c>
      <c r="K129">
        <v>17</v>
      </c>
      <c r="L129" t="s">
        <v>29</v>
      </c>
      <c r="M129" s="11">
        <v>17505</v>
      </c>
      <c r="N129" t="s">
        <v>37</v>
      </c>
      <c r="O129">
        <v>18</v>
      </c>
      <c r="P129">
        <v>102.5</v>
      </c>
      <c r="Q129" s="11">
        <v>175</v>
      </c>
      <c r="R129">
        <v>53</v>
      </c>
      <c r="S129" t="s">
        <v>31</v>
      </c>
      <c r="T129" s="11">
        <v>297585</v>
      </c>
      <c r="U129" s="11">
        <v>17937.5</v>
      </c>
      <c r="V129" s="11">
        <v>279647.5</v>
      </c>
      <c r="W129" s="11">
        <v>3000</v>
      </c>
      <c r="X129" s="11">
        <v>276647.5</v>
      </c>
      <c r="Y129" s="12">
        <v>2</v>
      </c>
      <c r="Z129" t="s">
        <v>60</v>
      </c>
    </row>
    <row r="130" spans="1:26" x14ac:dyDescent="0.2">
      <c r="A130" s="9">
        <v>45180</v>
      </c>
      <c r="B130" s="9" t="str">
        <f t="shared" si="1"/>
        <v>Monday</v>
      </c>
      <c r="C130" t="s">
        <v>25</v>
      </c>
      <c r="D130" t="s">
        <v>35</v>
      </c>
      <c r="E130" t="s">
        <v>79</v>
      </c>
      <c r="G130" t="s">
        <v>110</v>
      </c>
      <c r="H130" s="10">
        <v>0.48958333333333331</v>
      </c>
      <c r="I130" s="10">
        <v>0.84444444444444444</v>
      </c>
      <c r="J130">
        <v>870</v>
      </c>
      <c r="K130">
        <v>14</v>
      </c>
      <c r="L130" t="s">
        <v>29</v>
      </c>
      <c r="M130" s="11">
        <v>24758</v>
      </c>
      <c r="N130" t="s">
        <v>63</v>
      </c>
      <c r="O130">
        <v>18</v>
      </c>
      <c r="P130">
        <v>96</v>
      </c>
      <c r="Q130" s="11">
        <v>175</v>
      </c>
      <c r="R130">
        <v>10</v>
      </c>
      <c r="S130" t="s">
        <v>31</v>
      </c>
      <c r="T130" s="11">
        <v>346612</v>
      </c>
      <c r="U130" s="11">
        <v>16800</v>
      </c>
      <c r="V130" s="11">
        <v>329812</v>
      </c>
      <c r="W130" s="11">
        <v>3000</v>
      </c>
      <c r="X130" s="11">
        <v>326812</v>
      </c>
      <c r="Y130" s="12">
        <v>5</v>
      </c>
      <c r="Z130" t="s">
        <v>48</v>
      </c>
    </row>
    <row r="131" spans="1:26" x14ac:dyDescent="0.2">
      <c r="A131" s="9">
        <v>45184</v>
      </c>
      <c r="B131" s="9" t="str">
        <f t="shared" ref="B131:B151" si="2">TEXT(A131,"dddd")</f>
        <v>Friday</v>
      </c>
      <c r="C131" t="s">
        <v>94</v>
      </c>
      <c r="D131" t="s">
        <v>27</v>
      </c>
      <c r="E131" t="s">
        <v>35</v>
      </c>
      <c r="G131" t="s">
        <v>104</v>
      </c>
      <c r="H131" s="10">
        <v>0.5</v>
      </c>
      <c r="I131" s="10">
        <v>0.76319444444444451</v>
      </c>
      <c r="J131">
        <v>360</v>
      </c>
      <c r="K131">
        <v>13</v>
      </c>
      <c r="L131" t="s">
        <v>29</v>
      </c>
      <c r="M131" s="11">
        <v>7000</v>
      </c>
      <c r="N131" t="s">
        <v>30</v>
      </c>
      <c r="O131">
        <v>18</v>
      </c>
      <c r="P131">
        <v>51</v>
      </c>
      <c r="Q131" s="11">
        <v>175</v>
      </c>
      <c r="R131">
        <v>24</v>
      </c>
      <c r="S131" t="s">
        <v>56</v>
      </c>
      <c r="T131" s="11">
        <v>91000</v>
      </c>
      <c r="U131" s="11">
        <v>8925</v>
      </c>
      <c r="V131" s="11">
        <v>82075</v>
      </c>
      <c r="W131" s="11">
        <v>3000</v>
      </c>
      <c r="X131" s="11">
        <v>79075</v>
      </c>
      <c r="Y131" s="12">
        <v>3</v>
      </c>
      <c r="Z131" t="s">
        <v>51</v>
      </c>
    </row>
    <row r="132" spans="1:26" x14ac:dyDescent="0.2">
      <c r="A132" s="9">
        <v>45184</v>
      </c>
      <c r="B132" s="9" t="str">
        <f t="shared" si="2"/>
        <v>Friday</v>
      </c>
      <c r="C132" t="s">
        <v>33</v>
      </c>
      <c r="D132" t="s">
        <v>46</v>
      </c>
      <c r="E132" t="s">
        <v>79</v>
      </c>
      <c r="G132" t="s">
        <v>108</v>
      </c>
      <c r="H132" s="10">
        <v>0.25</v>
      </c>
      <c r="I132" s="10">
        <v>0.64444444444444438</v>
      </c>
      <c r="J132">
        <v>270</v>
      </c>
      <c r="K132">
        <v>13</v>
      </c>
      <c r="L132" t="s">
        <v>29</v>
      </c>
      <c r="M132" s="11">
        <v>7684</v>
      </c>
      <c r="N132" t="s">
        <v>85</v>
      </c>
      <c r="O132">
        <v>18</v>
      </c>
      <c r="P132">
        <v>39</v>
      </c>
      <c r="Q132" s="11">
        <v>175</v>
      </c>
      <c r="R132">
        <v>11</v>
      </c>
      <c r="S132" t="s">
        <v>38</v>
      </c>
      <c r="T132" s="11">
        <v>99892</v>
      </c>
      <c r="U132" s="11">
        <v>6825</v>
      </c>
      <c r="V132" s="11">
        <v>93067</v>
      </c>
      <c r="W132" s="11">
        <v>3000</v>
      </c>
      <c r="X132" s="11">
        <v>90067</v>
      </c>
      <c r="Y132" s="12">
        <v>5</v>
      </c>
      <c r="Z132" t="s">
        <v>48</v>
      </c>
    </row>
    <row r="133" spans="1:26" x14ac:dyDescent="0.2">
      <c r="A133" s="9">
        <v>45186</v>
      </c>
      <c r="B133" s="9" t="str">
        <f t="shared" si="2"/>
        <v>Sunday</v>
      </c>
      <c r="C133" t="s">
        <v>25</v>
      </c>
      <c r="D133" t="s">
        <v>26</v>
      </c>
      <c r="E133" t="s">
        <v>79</v>
      </c>
      <c r="G133" t="s">
        <v>113</v>
      </c>
      <c r="H133" s="10">
        <v>0.25</v>
      </c>
      <c r="I133" s="10">
        <v>0.47986111111111107</v>
      </c>
      <c r="J133">
        <v>535</v>
      </c>
      <c r="K133">
        <v>15</v>
      </c>
      <c r="L133" t="s">
        <v>29</v>
      </c>
      <c r="M133" s="11">
        <v>15226</v>
      </c>
      <c r="N133" t="s">
        <v>85</v>
      </c>
      <c r="O133">
        <v>18</v>
      </c>
      <c r="P133">
        <v>67</v>
      </c>
      <c r="Q133" s="11">
        <v>175</v>
      </c>
      <c r="R133">
        <v>22</v>
      </c>
      <c r="S133" t="s">
        <v>56</v>
      </c>
      <c r="T133" s="11">
        <v>228390</v>
      </c>
      <c r="U133" s="11">
        <v>11725</v>
      </c>
      <c r="V133" s="11">
        <v>216665</v>
      </c>
      <c r="W133" s="11">
        <v>3000</v>
      </c>
      <c r="X133" s="11">
        <v>213665</v>
      </c>
      <c r="Y133" s="12">
        <v>4</v>
      </c>
      <c r="Z133" t="s">
        <v>32</v>
      </c>
    </row>
    <row r="134" spans="1:26" x14ac:dyDescent="0.2">
      <c r="A134" s="9">
        <v>45186</v>
      </c>
      <c r="B134" s="9" t="str">
        <f t="shared" si="2"/>
        <v>Sunday</v>
      </c>
      <c r="C134" t="s">
        <v>49</v>
      </c>
      <c r="D134" t="s">
        <v>40</v>
      </c>
      <c r="E134" t="s">
        <v>53</v>
      </c>
      <c r="G134" t="s">
        <v>70</v>
      </c>
      <c r="H134" s="10">
        <v>0.41666666666666669</v>
      </c>
      <c r="I134" s="10">
        <v>0.64513888888888893</v>
      </c>
      <c r="J134">
        <v>615</v>
      </c>
      <c r="K134">
        <v>13</v>
      </c>
      <c r="L134" t="s">
        <v>29</v>
      </c>
      <c r="M134" s="11">
        <v>17505</v>
      </c>
      <c r="N134" t="s">
        <v>30</v>
      </c>
      <c r="O134">
        <v>18</v>
      </c>
      <c r="P134">
        <v>102.5</v>
      </c>
      <c r="Q134" s="11">
        <v>175</v>
      </c>
      <c r="R134">
        <v>56</v>
      </c>
      <c r="S134" t="s">
        <v>59</v>
      </c>
      <c r="T134" s="11">
        <v>227565</v>
      </c>
      <c r="U134" s="11">
        <v>17937.5</v>
      </c>
      <c r="V134" s="11">
        <v>209627.5</v>
      </c>
      <c r="W134" s="11">
        <v>3000</v>
      </c>
      <c r="X134" s="11">
        <v>206627.5</v>
      </c>
      <c r="Y134" s="12">
        <v>5</v>
      </c>
      <c r="Z134" t="s">
        <v>48</v>
      </c>
    </row>
    <row r="135" spans="1:26" x14ac:dyDescent="0.2">
      <c r="A135" s="9">
        <v>45187</v>
      </c>
      <c r="B135" s="9" t="str">
        <f t="shared" si="2"/>
        <v>Monday</v>
      </c>
      <c r="C135" t="s">
        <v>61</v>
      </c>
      <c r="D135" t="s">
        <v>26</v>
      </c>
      <c r="E135" t="s">
        <v>46</v>
      </c>
      <c r="G135" t="s">
        <v>93</v>
      </c>
      <c r="H135" s="10">
        <v>0.32013888888888886</v>
      </c>
      <c r="I135" s="10">
        <v>0.71458333333333335</v>
      </c>
      <c r="J135">
        <v>290</v>
      </c>
      <c r="K135">
        <v>18</v>
      </c>
      <c r="L135" t="s">
        <v>29</v>
      </c>
      <c r="M135" s="11">
        <v>8259</v>
      </c>
      <c r="N135" t="s">
        <v>66</v>
      </c>
      <c r="O135">
        <v>18</v>
      </c>
      <c r="P135">
        <v>48.33</v>
      </c>
      <c r="Q135" s="11">
        <v>175</v>
      </c>
      <c r="R135">
        <v>21</v>
      </c>
      <c r="S135" t="s">
        <v>59</v>
      </c>
      <c r="T135" s="11">
        <v>148662</v>
      </c>
      <c r="U135" s="11">
        <v>8457.75</v>
      </c>
      <c r="V135" s="11">
        <v>140204.25</v>
      </c>
      <c r="W135" s="11">
        <v>3000</v>
      </c>
      <c r="X135" s="11">
        <v>137204.25</v>
      </c>
      <c r="Y135" s="12">
        <v>5</v>
      </c>
      <c r="Z135" t="s">
        <v>48</v>
      </c>
    </row>
    <row r="136" spans="1:26" x14ac:dyDescent="0.2">
      <c r="A136" s="9">
        <v>45187</v>
      </c>
      <c r="B136" s="9" t="str">
        <f t="shared" si="2"/>
        <v>Monday</v>
      </c>
      <c r="C136" t="s">
        <v>64</v>
      </c>
      <c r="D136" t="s">
        <v>46</v>
      </c>
      <c r="E136" t="s">
        <v>79</v>
      </c>
      <c r="G136" t="s">
        <v>108</v>
      </c>
      <c r="H136" s="10">
        <v>0.29166666666666669</v>
      </c>
      <c r="I136" s="10">
        <v>0.61944444444444446</v>
      </c>
      <c r="J136">
        <v>270</v>
      </c>
      <c r="K136">
        <v>16</v>
      </c>
      <c r="L136" t="s">
        <v>29</v>
      </c>
      <c r="M136" s="11">
        <v>7684</v>
      </c>
      <c r="N136" t="s">
        <v>68</v>
      </c>
      <c r="O136">
        <v>18</v>
      </c>
      <c r="P136">
        <v>39</v>
      </c>
      <c r="Q136" s="11">
        <v>175</v>
      </c>
      <c r="R136">
        <v>20</v>
      </c>
      <c r="S136" t="s">
        <v>38</v>
      </c>
      <c r="T136" s="11">
        <v>122944</v>
      </c>
      <c r="U136" s="11">
        <v>6825</v>
      </c>
      <c r="V136" s="11">
        <v>116119</v>
      </c>
      <c r="W136" s="11">
        <v>3000</v>
      </c>
      <c r="X136" s="11">
        <v>113119</v>
      </c>
      <c r="Y136" s="12">
        <v>3</v>
      </c>
      <c r="Z136" t="s">
        <v>51</v>
      </c>
    </row>
    <row r="137" spans="1:26" x14ac:dyDescent="0.2">
      <c r="A137" s="9">
        <v>45187</v>
      </c>
      <c r="B137" s="9" t="str">
        <f t="shared" si="2"/>
        <v>Monday</v>
      </c>
      <c r="C137" t="s">
        <v>64</v>
      </c>
      <c r="D137" t="s">
        <v>53</v>
      </c>
      <c r="E137" t="s">
        <v>35</v>
      </c>
      <c r="G137" t="s">
        <v>58</v>
      </c>
      <c r="H137" s="10">
        <v>0.25</v>
      </c>
      <c r="I137" s="10">
        <v>0.52152777777777781</v>
      </c>
      <c r="J137">
        <v>835</v>
      </c>
      <c r="K137">
        <v>15</v>
      </c>
      <c r="L137" t="s">
        <v>42</v>
      </c>
      <c r="M137" s="11">
        <v>23762</v>
      </c>
      <c r="N137" t="s">
        <v>37</v>
      </c>
      <c r="O137">
        <v>18</v>
      </c>
      <c r="P137">
        <v>139.16999999999999</v>
      </c>
      <c r="Q137" s="11">
        <v>175</v>
      </c>
      <c r="R137">
        <v>22</v>
      </c>
      <c r="S137" t="s">
        <v>38</v>
      </c>
      <c r="T137" s="11">
        <v>356430</v>
      </c>
      <c r="U137" s="11">
        <v>24354.749999999996</v>
      </c>
      <c r="V137" s="11">
        <v>332075.25</v>
      </c>
      <c r="W137" s="11">
        <v>3000</v>
      </c>
      <c r="X137" s="11">
        <v>329075.25</v>
      </c>
      <c r="Y137" s="12">
        <v>1</v>
      </c>
      <c r="Z137" t="s">
        <v>44</v>
      </c>
    </row>
    <row r="138" spans="1:26" x14ac:dyDescent="0.2">
      <c r="A138" s="9">
        <v>45188</v>
      </c>
      <c r="B138" s="9" t="str">
        <f t="shared" si="2"/>
        <v>Tuesday</v>
      </c>
      <c r="C138" t="s">
        <v>25</v>
      </c>
      <c r="D138" t="s">
        <v>40</v>
      </c>
      <c r="E138" t="s">
        <v>53</v>
      </c>
      <c r="G138" t="s">
        <v>70</v>
      </c>
      <c r="H138" s="10">
        <v>0.43472222222222223</v>
      </c>
      <c r="I138" s="10">
        <v>0.86319444444444438</v>
      </c>
      <c r="J138">
        <v>615</v>
      </c>
      <c r="K138">
        <v>14</v>
      </c>
      <c r="L138" t="s">
        <v>42</v>
      </c>
      <c r="M138" s="11">
        <v>17505</v>
      </c>
      <c r="N138" t="s">
        <v>30</v>
      </c>
      <c r="O138">
        <v>18</v>
      </c>
      <c r="P138">
        <v>102.5</v>
      </c>
      <c r="Q138" s="11">
        <v>175</v>
      </c>
      <c r="R138">
        <v>38</v>
      </c>
      <c r="S138" t="s">
        <v>59</v>
      </c>
      <c r="T138" s="11">
        <v>245070</v>
      </c>
      <c r="U138" s="11">
        <v>17937.5</v>
      </c>
      <c r="V138" s="11">
        <v>227132.5</v>
      </c>
      <c r="W138" s="11">
        <v>3000</v>
      </c>
      <c r="X138" s="11">
        <v>224132.5</v>
      </c>
      <c r="Y138" s="12">
        <v>3</v>
      </c>
      <c r="Z138" t="s">
        <v>51</v>
      </c>
    </row>
    <row r="139" spans="1:26" x14ac:dyDescent="0.2">
      <c r="A139" s="9">
        <v>45188</v>
      </c>
      <c r="B139" s="9" t="str">
        <f t="shared" si="2"/>
        <v>Tuesday</v>
      </c>
      <c r="C139" t="s">
        <v>39</v>
      </c>
      <c r="D139" t="s">
        <v>35</v>
      </c>
      <c r="E139" t="s">
        <v>79</v>
      </c>
      <c r="G139" t="s">
        <v>110</v>
      </c>
      <c r="H139" s="10">
        <v>0.32013888888888886</v>
      </c>
      <c r="I139" s="10">
        <v>0.76388888888888884</v>
      </c>
      <c r="J139">
        <v>870</v>
      </c>
      <c r="K139">
        <v>16</v>
      </c>
      <c r="L139" t="s">
        <v>29</v>
      </c>
      <c r="M139" s="11">
        <v>24758</v>
      </c>
      <c r="N139" t="s">
        <v>68</v>
      </c>
      <c r="O139">
        <v>18</v>
      </c>
      <c r="P139">
        <v>96</v>
      </c>
      <c r="Q139" s="11">
        <v>175</v>
      </c>
      <c r="R139">
        <v>24</v>
      </c>
      <c r="S139" t="s">
        <v>38</v>
      </c>
      <c r="T139" s="11">
        <v>396128</v>
      </c>
      <c r="U139" s="11">
        <v>16800</v>
      </c>
      <c r="V139" s="11">
        <v>379328</v>
      </c>
      <c r="W139" s="11">
        <v>3000</v>
      </c>
      <c r="X139" s="11">
        <v>376328</v>
      </c>
      <c r="Y139" s="12">
        <v>3</v>
      </c>
      <c r="Z139" t="s">
        <v>51</v>
      </c>
    </row>
    <row r="140" spans="1:26" x14ac:dyDescent="0.2">
      <c r="A140" s="9">
        <v>45189</v>
      </c>
      <c r="B140" s="9" t="str">
        <f t="shared" si="2"/>
        <v>Wednesday</v>
      </c>
      <c r="C140" t="s">
        <v>52</v>
      </c>
      <c r="D140" t="s">
        <v>40</v>
      </c>
      <c r="E140" t="s">
        <v>53</v>
      </c>
      <c r="G140" t="s">
        <v>70</v>
      </c>
      <c r="H140" s="10">
        <v>0.5</v>
      </c>
      <c r="I140" s="10">
        <v>0.9145833333333333</v>
      </c>
      <c r="J140">
        <v>615</v>
      </c>
      <c r="K140">
        <v>16</v>
      </c>
      <c r="L140" t="s">
        <v>42</v>
      </c>
      <c r="M140" s="11">
        <v>17505</v>
      </c>
      <c r="N140" t="s">
        <v>66</v>
      </c>
      <c r="O140">
        <v>18</v>
      </c>
      <c r="P140">
        <v>102.5</v>
      </c>
      <c r="Q140" s="11">
        <v>175</v>
      </c>
      <c r="R140">
        <v>1</v>
      </c>
      <c r="S140" t="s">
        <v>38</v>
      </c>
      <c r="T140" s="11">
        <v>280080</v>
      </c>
      <c r="U140" s="11">
        <v>17937.5</v>
      </c>
      <c r="V140" s="11">
        <v>262142.5</v>
      </c>
      <c r="W140" s="11">
        <v>3000</v>
      </c>
      <c r="X140" s="11">
        <v>259142.5</v>
      </c>
      <c r="Y140" s="12">
        <v>2</v>
      </c>
      <c r="Z140" t="s">
        <v>60</v>
      </c>
    </row>
    <row r="141" spans="1:26" x14ac:dyDescent="0.2">
      <c r="A141" s="9">
        <v>45191</v>
      </c>
      <c r="B141" s="9" t="str">
        <f t="shared" si="2"/>
        <v>Friday</v>
      </c>
      <c r="C141" t="s">
        <v>25</v>
      </c>
      <c r="D141" t="s">
        <v>40</v>
      </c>
      <c r="E141" t="s">
        <v>79</v>
      </c>
      <c r="G141" t="s">
        <v>88</v>
      </c>
      <c r="H141" s="10">
        <v>0.32013888888888886</v>
      </c>
      <c r="I141" s="10">
        <v>0.65347222222222223</v>
      </c>
      <c r="J141">
        <v>450</v>
      </c>
      <c r="K141">
        <v>14</v>
      </c>
      <c r="L141" t="s">
        <v>29</v>
      </c>
      <c r="M141" s="11">
        <v>12806</v>
      </c>
      <c r="N141" t="s">
        <v>55</v>
      </c>
      <c r="O141">
        <v>18</v>
      </c>
      <c r="P141">
        <v>103.33</v>
      </c>
      <c r="Q141" s="11">
        <v>175</v>
      </c>
      <c r="R141">
        <v>0</v>
      </c>
      <c r="S141" t="s">
        <v>31</v>
      </c>
      <c r="T141" s="11">
        <v>179284</v>
      </c>
      <c r="U141" s="11">
        <v>18082.75</v>
      </c>
      <c r="V141" s="11">
        <v>161201.25</v>
      </c>
      <c r="W141" s="11">
        <v>3000</v>
      </c>
      <c r="X141" s="11">
        <v>158201.25</v>
      </c>
      <c r="Y141" s="12">
        <v>3</v>
      </c>
      <c r="Z141" t="s">
        <v>51</v>
      </c>
    </row>
    <row r="142" spans="1:26" x14ac:dyDescent="0.2">
      <c r="A142" s="9">
        <v>45191</v>
      </c>
      <c r="B142" s="9" t="str">
        <f t="shared" si="2"/>
        <v>Friday</v>
      </c>
      <c r="C142" t="s">
        <v>57</v>
      </c>
      <c r="D142" t="s">
        <v>53</v>
      </c>
      <c r="E142" t="s">
        <v>79</v>
      </c>
      <c r="G142" t="s">
        <v>86</v>
      </c>
      <c r="H142" s="10">
        <v>0.45833333333333331</v>
      </c>
      <c r="I142" s="10">
        <v>0.82430555555555551</v>
      </c>
      <c r="J142">
        <v>130</v>
      </c>
      <c r="K142">
        <v>14</v>
      </c>
      <c r="L142" t="s">
        <v>42</v>
      </c>
      <c r="M142" s="11">
        <v>3702</v>
      </c>
      <c r="N142" t="s">
        <v>63</v>
      </c>
      <c r="O142">
        <v>18</v>
      </c>
      <c r="P142">
        <v>21.67</v>
      </c>
      <c r="Q142" s="11">
        <v>175</v>
      </c>
      <c r="R142">
        <v>5</v>
      </c>
      <c r="S142" t="s">
        <v>38</v>
      </c>
      <c r="T142" s="11">
        <v>51828</v>
      </c>
      <c r="U142" s="11">
        <v>3792.2500000000005</v>
      </c>
      <c r="V142" s="11">
        <v>48035.75</v>
      </c>
      <c r="W142" s="11">
        <v>3000</v>
      </c>
      <c r="X142" s="11">
        <v>45035.75</v>
      </c>
      <c r="Y142" s="12">
        <v>3</v>
      </c>
      <c r="Z142" t="s">
        <v>51</v>
      </c>
    </row>
    <row r="143" spans="1:26" x14ac:dyDescent="0.2">
      <c r="A143" s="9">
        <v>45192</v>
      </c>
      <c r="B143" s="9" t="str">
        <f t="shared" si="2"/>
        <v>Saturday</v>
      </c>
      <c r="C143" t="s">
        <v>25</v>
      </c>
      <c r="D143" t="s">
        <v>46</v>
      </c>
      <c r="E143" t="s">
        <v>79</v>
      </c>
      <c r="G143" t="s">
        <v>108</v>
      </c>
      <c r="H143" s="10">
        <v>0.125</v>
      </c>
      <c r="I143" s="10">
        <v>0.53402777777777777</v>
      </c>
      <c r="J143">
        <v>270</v>
      </c>
      <c r="K143">
        <v>15</v>
      </c>
      <c r="L143" t="s">
        <v>29</v>
      </c>
      <c r="M143" s="11">
        <v>7684</v>
      </c>
      <c r="N143" t="s">
        <v>43</v>
      </c>
      <c r="O143">
        <v>18</v>
      </c>
      <c r="P143">
        <v>45</v>
      </c>
      <c r="Q143" s="11">
        <v>175</v>
      </c>
      <c r="R143">
        <v>24</v>
      </c>
      <c r="S143" t="s">
        <v>56</v>
      </c>
      <c r="T143" s="11">
        <v>115260</v>
      </c>
      <c r="U143" s="11">
        <v>7875</v>
      </c>
      <c r="V143" s="11">
        <v>107385</v>
      </c>
      <c r="W143" s="11">
        <v>3000</v>
      </c>
      <c r="X143" s="11">
        <v>104385</v>
      </c>
      <c r="Y143" s="12">
        <v>3</v>
      </c>
      <c r="Z143" t="s">
        <v>51</v>
      </c>
    </row>
    <row r="144" spans="1:26" x14ac:dyDescent="0.2">
      <c r="A144" s="9">
        <v>45192</v>
      </c>
      <c r="B144" s="9" t="str">
        <f t="shared" si="2"/>
        <v>Saturday</v>
      </c>
      <c r="C144" t="s">
        <v>57</v>
      </c>
      <c r="D144" t="s">
        <v>40</v>
      </c>
      <c r="E144" t="s">
        <v>26</v>
      </c>
      <c r="G144" t="s">
        <v>67</v>
      </c>
      <c r="H144" s="10">
        <v>0.25</v>
      </c>
      <c r="I144" s="10">
        <v>0.65972222222222221</v>
      </c>
      <c r="J144">
        <v>300</v>
      </c>
      <c r="K144">
        <v>13</v>
      </c>
      <c r="L144" t="s">
        <v>29</v>
      </c>
      <c r="M144" s="11">
        <v>8538</v>
      </c>
      <c r="N144" t="s">
        <v>43</v>
      </c>
      <c r="O144">
        <v>18</v>
      </c>
      <c r="P144">
        <v>50</v>
      </c>
      <c r="Q144" s="11">
        <v>175</v>
      </c>
      <c r="R144">
        <v>60</v>
      </c>
      <c r="S144" t="s">
        <v>59</v>
      </c>
      <c r="T144" s="11">
        <v>110994</v>
      </c>
      <c r="U144" s="11">
        <v>8750</v>
      </c>
      <c r="V144" s="11">
        <v>102244</v>
      </c>
      <c r="W144" s="11">
        <v>3000</v>
      </c>
      <c r="X144" s="11">
        <v>99244</v>
      </c>
      <c r="Y144" s="12">
        <v>4</v>
      </c>
      <c r="Z144" t="s">
        <v>32</v>
      </c>
    </row>
    <row r="145" spans="1:26" x14ac:dyDescent="0.2">
      <c r="A145" s="9">
        <v>45193</v>
      </c>
      <c r="B145" s="9" t="str">
        <f t="shared" si="2"/>
        <v>Sunday</v>
      </c>
      <c r="C145" t="s">
        <v>33</v>
      </c>
      <c r="D145" t="s">
        <v>26</v>
      </c>
      <c r="E145" t="s">
        <v>34</v>
      </c>
      <c r="G145" t="s">
        <v>71</v>
      </c>
      <c r="H145" s="10">
        <v>0.15625</v>
      </c>
      <c r="I145" s="10">
        <v>0.58055555555555549</v>
      </c>
      <c r="J145">
        <v>635</v>
      </c>
      <c r="K145">
        <v>17</v>
      </c>
      <c r="L145" t="s">
        <v>29</v>
      </c>
      <c r="M145" s="11">
        <v>18077</v>
      </c>
      <c r="N145" t="s">
        <v>55</v>
      </c>
      <c r="O145">
        <v>18</v>
      </c>
      <c r="P145">
        <v>105.83</v>
      </c>
      <c r="Q145" s="11">
        <v>175</v>
      </c>
      <c r="R145">
        <v>7</v>
      </c>
      <c r="S145" t="s">
        <v>56</v>
      </c>
      <c r="T145" s="11">
        <v>307309</v>
      </c>
      <c r="U145" s="11">
        <v>18520.25</v>
      </c>
      <c r="V145" s="11">
        <v>288788.75</v>
      </c>
      <c r="W145" s="11">
        <v>3000</v>
      </c>
      <c r="X145" s="11">
        <v>285788.75</v>
      </c>
      <c r="Y145" s="12">
        <v>3</v>
      </c>
      <c r="Z145" t="s">
        <v>51</v>
      </c>
    </row>
    <row r="146" spans="1:26" x14ac:dyDescent="0.2">
      <c r="A146" s="9">
        <v>45195</v>
      </c>
      <c r="B146" s="9" t="str">
        <f t="shared" si="2"/>
        <v>Tuesday</v>
      </c>
      <c r="C146" t="s">
        <v>52</v>
      </c>
      <c r="D146" t="s">
        <v>35</v>
      </c>
      <c r="E146" t="s">
        <v>40</v>
      </c>
      <c r="G146" t="s">
        <v>78</v>
      </c>
      <c r="H146" s="10">
        <v>0.33055555555555555</v>
      </c>
      <c r="I146" s="10">
        <v>0.77499999999999991</v>
      </c>
      <c r="J146">
        <v>890</v>
      </c>
      <c r="K146">
        <v>18</v>
      </c>
      <c r="L146" t="s">
        <v>42</v>
      </c>
      <c r="M146" s="11">
        <v>25323</v>
      </c>
      <c r="N146" t="s">
        <v>68</v>
      </c>
      <c r="O146">
        <v>18</v>
      </c>
      <c r="P146">
        <v>148.33000000000001</v>
      </c>
      <c r="Q146" s="11">
        <v>175</v>
      </c>
      <c r="R146">
        <v>40</v>
      </c>
      <c r="S146" t="s">
        <v>38</v>
      </c>
      <c r="T146" s="11">
        <v>455814</v>
      </c>
      <c r="U146" s="11">
        <v>25957.750000000004</v>
      </c>
      <c r="V146" s="11">
        <v>429856.25</v>
      </c>
      <c r="W146" s="11">
        <v>3000</v>
      </c>
      <c r="X146" s="11">
        <v>426856.25</v>
      </c>
      <c r="Y146" s="12">
        <v>4</v>
      </c>
      <c r="Z146" t="s">
        <v>32</v>
      </c>
    </row>
    <row r="147" spans="1:26" x14ac:dyDescent="0.2">
      <c r="A147" s="9">
        <v>45195</v>
      </c>
      <c r="B147" s="9" t="str">
        <f t="shared" si="2"/>
        <v>Tuesday</v>
      </c>
      <c r="C147" t="s">
        <v>33</v>
      </c>
      <c r="D147" t="s">
        <v>46</v>
      </c>
      <c r="E147" t="s">
        <v>27</v>
      </c>
      <c r="G147" t="s">
        <v>106</v>
      </c>
      <c r="H147" s="10">
        <v>0.46388888888888891</v>
      </c>
      <c r="I147" s="10">
        <v>0.83958333333333335</v>
      </c>
      <c r="J147">
        <v>500</v>
      </c>
      <c r="K147">
        <v>18</v>
      </c>
      <c r="L147" t="s">
        <v>29</v>
      </c>
      <c r="M147" s="11">
        <v>14235</v>
      </c>
      <c r="N147" t="s">
        <v>55</v>
      </c>
      <c r="O147">
        <v>18</v>
      </c>
      <c r="P147">
        <v>83.33</v>
      </c>
      <c r="Q147" s="11">
        <v>175</v>
      </c>
      <c r="R147">
        <v>17</v>
      </c>
      <c r="S147" t="s">
        <v>56</v>
      </c>
      <c r="T147" s="11">
        <v>256230</v>
      </c>
      <c r="U147" s="11">
        <v>14582.75</v>
      </c>
      <c r="V147" s="11">
        <v>241647.25</v>
      </c>
      <c r="W147" s="11">
        <v>3000</v>
      </c>
      <c r="X147" s="11">
        <v>238647.25</v>
      </c>
      <c r="Y147" s="12">
        <v>3</v>
      </c>
      <c r="Z147" t="s">
        <v>51</v>
      </c>
    </row>
    <row r="148" spans="1:26" x14ac:dyDescent="0.2">
      <c r="A148" s="9">
        <v>45198</v>
      </c>
      <c r="B148" s="9" t="str">
        <f t="shared" si="2"/>
        <v>Friday</v>
      </c>
      <c r="C148" t="s">
        <v>52</v>
      </c>
      <c r="D148" t="s">
        <v>46</v>
      </c>
      <c r="E148" t="s">
        <v>79</v>
      </c>
      <c r="G148" t="s">
        <v>108</v>
      </c>
      <c r="H148" s="10">
        <v>0.29166666666666669</v>
      </c>
      <c r="I148" s="10">
        <v>0.63055555555555554</v>
      </c>
      <c r="J148">
        <v>270</v>
      </c>
      <c r="K148">
        <v>15</v>
      </c>
      <c r="L148" t="s">
        <v>29</v>
      </c>
      <c r="M148" s="11">
        <v>7684</v>
      </c>
      <c r="N148" t="s">
        <v>30</v>
      </c>
      <c r="O148">
        <v>18</v>
      </c>
      <c r="P148">
        <v>45</v>
      </c>
      <c r="Q148" s="11">
        <v>175</v>
      </c>
      <c r="R148">
        <v>5</v>
      </c>
      <c r="S148" t="s">
        <v>31</v>
      </c>
      <c r="T148" s="11">
        <v>115260</v>
      </c>
      <c r="U148" s="11">
        <v>7875</v>
      </c>
      <c r="V148" s="11">
        <v>107385</v>
      </c>
      <c r="W148" s="11">
        <v>3000</v>
      </c>
      <c r="X148" s="11">
        <v>104385</v>
      </c>
      <c r="Y148" s="12">
        <v>1</v>
      </c>
      <c r="Z148" t="s">
        <v>44</v>
      </c>
    </row>
    <row r="149" spans="1:26" x14ac:dyDescent="0.2">
      <c r="A149" s="9">
        <v>45198</v>
      </c>
      <c r="B149" s="9" t="str">
        <f t="shared" si="2"/>
        <v>Friday</v>
      </c>
      <c r="C149" t="s">
        <v>52</v>
      </c>
      <c r="D149" t="s">
        <v>26</v>
      </c>
      <c r="E149" t="s">
        <v>53</v>
      </c>
      <c r="G149" t="s">
        <v>75</v>
      </c>
      <c r="H149" s="10">
        <v>0.25</v>
      </c>
      <c r="I149" s="10">
        <v>0.46944444444444444</v>
      </c>
      <c r="J149">
        <v>535</v>
      </c>
      <c r="K149">
        <v>14</v>
      </c>
      <c r="L149" t="s">
        <v>42</v>
      </c>
      <c r="M149" s="11">
        <v>15226</v>
      </c>
      <c r="N149" t="s">
        <v>85</v>
      </c>
      <c r="O149">
        <v>18</v>
      </c>
      <c r="P149">
        <v>88.33</v>
      </c>
      <c r="Q149" s="11">
        <v>175</v>
      </c>
      <c r="R149">
        <v>35</v>
      </c>
      <c r="S149" t="s">
        <v>31</v>
      </c>
      <c r="T149" s="11">
        <v>213164</v>
      </c>
      <c r="U149" s="11">
        <v>15457.75</v>
      </c>
      <c r="V149" s="11">
        <v>197706.25</v>
      </c>
      <c r="W149" s="11">
        <v>3000</v>
      </c>
      <c r="X149" s="11">
        <v>194706.25</v>
      </c>
      <c r="Y149" s="12">
        <v>3</v>
      </c>
      <c r="Z149" t="s">
        <v>51</v>
      </c>
    </row>
    <row r="150" spans="1:26" x14ac:dyDescent="0.2">
      <c r="A150" s="9">
        <v>45199</v>
      </c>
      <c r="B150" s="9" t="str">
        <f t="shared" si="2"/>
        <v>Saturday</v>
      </c>
      <c r="C150" t="s">
        <v>61</v>
      </c>
      <c r="D150" t="s">
        <v>79</v>
      </c>
      <c r="E150" t="s">
        <v>40</v>
      </c>
      <c r="G150" t="s">
        <v>111</v>
      </c>
      <c r="H150" s="10">
        <v>0.27638888888888891</v>
      </c>
      <c r="I150" s="10">
        <v>0.62430555555555556</v>
      </c>
      <c r="J150">
        <v>450</v>
      </c>
      <c r="K150">
        <v>15</v>
      </c>
      <c r="L150" t="s">
        <v>29</v>
      </c>
      <c r="M150" s="11">
        <v>12806</v>
      </c>
      <c r="N150" t="s">
        <v>72</v>
      </c>
      <c r="O150">
        <v>18</v>
      </c>
      <c r="P150">
        <v>103.33</v>
      </c>
      <c r="Q150" s="11">
        <v>175</v>
      </c>
      <c r="R150">
        <v>49</v>
      </c>
      <c r="S150" t="s">
        <v>38</v>
      </c>
      <c r="T150" s="11">
        <v>192090</v>
      </c>
      <c r="U150" s="11">
        <v>18082.75</v>
      </c>
      <c r="V150" s="11">
        <v>174007.25</v>
      </c>
      <c r="W150" s="11">
        <v>3000</v>
      </c>
      <c r="X150" s="11">
        <v>171007.25</v>
      </c>
      <c r="Y150" s="12">
        <v>4</v>
      </c>
      <c r="Z150" t="s">
        <v>32</v>
      </c>
    </row>
    <row r="151" spans="1:26" x14ac:dyDescent="0.2">
      <c r="A151" s="9">
        <v>45199</v>
      </c>
      <c r="B151" s="9" t="str">
        <f t="shared" si="2"/>
        <v>Saturday</v>
      </c>
      <c r="C151" t="s">
        <v>49</v>
      </c>
      <c r="D151" t="s">
        <v>53</v>
      </c>
      <c r="E151" t="s">
        <v>79</v>
      </c>
      <c r="G151" t="s">
        <v>86</v>
      </c>
      <c r="H151" s="10">
        <v>0.45833333333333331</v>
      </c>
      <c r="I151" s="10">
        <v>0.86250000000000004</v>
      </c>
      <c r="J151">
        <v>130</v>
      </c>
      <c r="K151">
        <v>13</v>
      </c>
      <c r="L151" t="s">
        <v>42</v>
      </c>
      <c r="M151" s="11">
        <v>3702</v>
      </c>
      <c r="N151" t="s">
        <v>66</v>
      </c>
      <c r="O151">
        <v>18</v>
      </c>
      <c r="P151">
        <v>21.67</v>
      </c>
      <c r="Q151" s="11">
        <v>175</v>
      </c>
      <c r="R151">
        <v>13</v>
      </c>
      <c r="S151" t="s">
        <v>38</v>
      </c>
      <c r="T151" s="11">
        <v>48126</v>
      </c>
      <c r="U151" s="11">
        <v>3792.2500000000005</v>
      </c>
      <c r="V151" s="11">
        <v>44333.75</v>
      </c>
      <c r="W151" s="11">
        <v>3000</v>
      </c>
      <c r="X151" s="11">
        <v>41333.75</v>
      </c>
      <c r="Y151" s="12">
        <v>5</v>
      </c>
      <c r="Z151" t="s">
        <v>48</v>
      </c>
    </row>
  </sheetData>
  <autoFilter ref="A1:Z151" xr:uid="{E16E2367-9DA5-4295-B10C-E57821F0950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95711-F5FD-4492-A88F-B85F0C881CEA}">
  <dimension ref="A1:N151"/>
  <sheetViews>
    <sheetView workbookViewId="0">
      <selection activeCell="B4" sqref="B4"/>
    </sheetView>
  </sheetViews>
  <sheetFormatPr defaultRowHeight="14.25" x14ac:dyDescent="0.2"/>
  <cols>
    <col min="1" max="1" width="11.75" customWidth="1"/>
    <col min="4" max="4" width="27.75" customWidth="1"/>
    <col min="8" max="8" width="4.5" customWidth="1"/>
  </cols>
  <sheetData>
    <row r="1" spans="1:14" ht="15" x14ac:dyDescent="0.2">
      <c r="A1" t="s">
        <v>13</v>
      </c>
      <c r="D1" s="1" t="s">
        <v>14</v>
      </c>
      <c r="K1" t="s">
        <v>5</v>
      </c>
    </row>
    <row r="2" spans="1:14" x14ac:dyDescent="0.2">
      <c r="A2">
        <v>18</v>
      </c>
      <c r="D2">
        <v>54</v>
      </c>
      <c r="K2" t="s">
        <v>28</v>
      </c>
    </row>
    <row r="3" spans="1:14" x14ac:dyDescent="0.2">
      <c r="A3">
        <v>18</v>
      </c>
      <c r="B3">
        <f>SUM(A:A)</f>
        <v>2700</v>
      </c>
      <c r="D3">
        <v>29</v>
      </c>
      <c r="F3">
        <f>SUM(D:D)</f>
        <v>13121.949999999999</v>
      </c>
      <c r="K3" t="s">
        <v>36</v>
      </c>
    </row>
    <row r="4" spans="1:14" x14ac:dyDescent="0.2">
      <c r="A4">
        <v>18</v>
      </c>
      <c r="D4">
        <v>114</v>
      </c>
      <c r="K4" t="s">
        <v>41</v>
      </c>
    </row>
    <row r="5" spans="1:14" x14ac:dyDescent="0.2">
      <c r="A5">
        <v>18</v>
      </c>
      <c r="D5">
        <v>79</v>
      </c>
      <c r="K5" t="s">
        <v>47</v>
      </c>
      <c r="N5">
        <f>COUNTA(K2:K151)</f>
        <v>150</v>
      </c>
    </row>
    <row r="6" spans="1:14" x14ac:dyDescent="0.2">
      <c r="A6">
        <v>18</v>
      </c>
      <c r="D6">
        <v>53</v>
      </c>
      <c r="K6" t="s">
        <v>50</v>
      </c>
    </row>
    <row r="7" spans="1:14" x14ac:dyDescent="0.2">
      <c r="A7">
        <v>18</v>
      </c>
      <c r="D7">
        <v>109</v>
      </c>
      <c r="K7" t="s">
        <v>54</v>
      </c>
      <c r="N7" t="str">
        <f>_xlfn.UNICHAR(151)</f>
        <v></v>
      </c>
    </row>
    <row r="8" spans="1:14" x14ac:dyDescent="0.2">
      <c r="A8">
        <v>18</v>
      </c>
      <c r="D8">
        <v>119</v>
      </c>
      <c r="K8" t="s">
        <v>58</v>
      </c>
    </row>
    <row r="9" spans="1:14" x14ac:dyDescent="0.2">
      <c r="A9">
        <v>18</v>
      </c>
      <c r="D9">
        <v>109</v>
      </c>
      <c r="K9" t="s">
        <v>62</v>
      </c>
    </row>
    <row r="10" spans="1:14" x14ac:dyDescent="0.2">
      <c r="A10">
        <v>18</v>
      </c>
      <c r="D10">
        <v>121</v>
      </c>
      <c r="K10" t="s">
        <v>65</v>
      </c>
    </row>
    <row r="11" spans="1:14" x14ac:dyDescent="0.2">
      <c r="A11">
        <v>18</v>
      </c>
      <c r="D11">
        <v>54</v>
      </c>
      <c r="K11" t="s">
        <v>28</v>
      </c>
    </row>
    <row r="12" spans="1:14" x14ac:dyDescent="0.2">
      <c r="A12">
        <v>18</v>
      </c>
      <c r="D12">
        <v>50</v>
      </c>
      <c r="K12" t="s">
        <v>67</v>
      </c>
    </row>
    <row r="13" spans="1:14" x14ac:dyDescent="0.2">
      <c r="A13">
        <v>18</v>
      </c>
      <c r="D13">
        <v>102.5</v>
      </c>
      <c r="K13" t="s">
        <v>70</v>
      </c>
    </row>
    <row r="14" spans="1:14" x14ac:dyDescent="0.2">
      <c r="A14">
        <v>18</v>
      </c>
      <c r="D14">
        <v>105.83</v>
      </c>
      <c r="K14" t="s">
        <v>71</v>
      </c>
    </row>
    <row r="15" spans="1:14" x14ac:dyDescent="0.2">
      <c r="A15">
        <v>18</v>
      </c>
      <c r="D15">
        <v>96.67</v>
      </c>
      <c r="K15" t="s">
        <v>47</v>
      </c>
    </row>
    <row r="16" spans="1:14" x14ac:dyDescent="0.2">
      <c r="A16">
        <v>18</v>
      </c>
      <c r="D16">
        <v>139.16999999999999</v>
      </c>
      <c r="K16" t="s">
        <v>58</v>
      </c>
    </row>
    <row r="17" spans="1:11" x14ac:dyDescent="0.2">
      <c r="A17">
        <v>18</v>
      </c>
      <c r="D17">
        <v>46</v>
      </c>
      <c r="K17" t="s">
        <v>74</v>
      </c>
    </row>
    <row r="18" spans="1:11" x14ac:dyDescent="0.2">
      <c r="A18">
        <v>18</v>
      </c>
      <c r="D18">
        <v>88.33</v>
      </c>
      <c r="K18" t="s">
        <v>75</v>
      </c>
    </row>
    <row r="19" spans="1:11" x14ac:dyDescent="0.2">
      <c r="A19">
        <v>18</v>
      </c>
      <c r="D19">
        <v>75</v>
      </c>
      <c r="K19" t="s">
        <v>77</v>
      </c>
    </row>
    <row r="20" spans="1:11" x14ac:dyDescent="0.2">
      <c r="A20">
        <v>18</v>
      </c>
      <c r="D20">
        <v>148.33000000000001</v>
      </c>
      <c r="K20" t="s">
        <v>78</v>
      </c>
    </row>
    <row r="21" spans="1:11" x14ac:dyDescent="0.2">
      <c r="A21">
        <v>18</v>
      </c>
      <c r="D21">
        <v>96.67</v>
      </c>
      <c r="K21" t="s">
        <v>80</v>
      </c>
    </row>
    <row r="22" spans="1:11" x14ac:dyDescent="0.2">
      <c r="A22">
        <v>18</v>
      </c>
      <c r="D22">
        <v>89.17</v>
      </c>
      <c r="K22" t="s">
        <v>81</v>
      </c>
    </row>
    <row r="23" spans="1:11" x14ac:dyDescent="0.2">
      <c r="A23">
        <v>18</v>
      </c>
      <c r="D23">
        <v>125</v>
      </c>
      <c r="K23" t="s">
        <v>62</v>
      </c>
    </row>
    <row r="24" spans="1:11" x14ac:dyDescent="0.2">
      <c r="A24">
        <v>18</v>
      </c>
      <c r="D24">
        <v>83.33</v>
      </c>
      <c r="K24" t="s">
        <v>83</v>
      </c>
    </row>
    <row r="25" spans="1:11" x14ac:dyDescent="0.2">
      <c r="A25">
        <v>18</v>
      </c>
      <c r="D25">
        <v>46</v>
      </c>
      <c r="K25" t="s">
        <v>74</v>
      </c>
    </row>
    <row r="26" spans="1:11" x14ac:dyDescent="0.2">
      <c r="A26">
        <v>18</v>
      </c>
      <c r="D26">
        <v>21.67</v>
      </c>
      <c r="K26" t="s">
        <v>86</v>
      </c>
    </row>
    <row r="27" spans="1:11" x14ac:dyDescent="0.2">
      <c r="A27">
        <v>18</v>
      </c>
      <c r="D27">
        <v>139</v>
      </c>
      <c r="K27" t="s">
        <v>87</v>
      </c>
    </row>
    <row r="28" spans="1:11" x14ac:dyDescent="0.2">
      <c r="A28">
        <v>18</v>
      </c>
      <c r="D28">
        <v>75</v>
      </c>
      <c r="K28" t="s">
        <v>77</v>
      </c>
    </row>
    <row r="29" spans="1:11" x14ac:dyDescent="0.2">
      <c r="A29">
        <v>18</v>
      </c>
      <c r="D29">
        <v>103.33</v>
      </c>
      <c r="K29" t="s">
        <v>88</v>
      </c>
    </row>
    <row r="30" spans="1:11" x14ac:dyDescent="0.2">
      <c r="A30">
        <v>18</v>
      </c>
      <c r="D30">
        <v>53.33</v>
      </c>
      <c r="K30" t="s">
        <v>89</v>
      </c>
    </row>
    <row r="31" spans="1:11" x14ac:dyDescent="0.2">
      <c r="A31">
        <v>18</v>
      </c>
      <c r="D31">
        <v>96.67</v>
      </c>
      <c r="K31" t="s">
        <v>90</v>
      </c>
    </row>
    <row r="32" spans="1:11" x14ac:dyDescent="0.2">
      <c r="A32">
        <v>18</v>
      </c>
      <c r="D32">
        <v>112.5</v>
      </c>
      <c r="K32" t="s">
        <v>91</v>
      </c>
    </row>
    <row r="33" spans="1:11" x14ac:dyDescent="0.2">
      <c r="A33">
        <v>18</v>
      </c>
      <c r="D33">
        <v>96.67</v>
      </c>
      <c r="K33" t="s">
        <v>47</v>
      </c>
    </row>
    <row r="34" spans="1:11" x14ac:dyDescent="0.2">
      <c r="A34">
        <v>18</v>
      </c>
      <c r="D34">
        <v>75</v>
      </c>
      <c r="K34" t="s">
        <v>92</v>
      </c>
    </row>
    <row r="35" spans="1:11" x14ac:dyDescent="0.2">
      <c r="A35">
        <v>18</v>
      </c>
      <c r="D35">
        <v>48.33</v>
      </c>
      <c r="K35" t="s">
        <v>93</v>
      </c>
    </row>
    <row r="36" spans="1:11" x14ac:dyDescent="0.2">
      <c r="A36">
        <v>18</v>
      </c>
      <c r="D36">
        <v>103.33</v>
      </c>
      <c r="K36" t="s">
        <v>88</v>
      </c>
    </row>
    <row r="37" spans="1:11" x14ac:dyDescent="0.2">
      <c r="A37">
        <v>18</v>
      </c>
      <c r="D37">
        <v>102.5</v>
      </c>
      <c r="K37" t="s">
        <v>95</v>
      </c>
    </row>
    <row r="38" spans="1:11" x14ac:dyDescent="0.2">
      <c r="A38">
        <v>18</v>
      </c>
      <c r="D38">
        <v>96.67</v>
      </c>
      <c r="K38" t="s">
        <v>96</v>
      </c>
    </row>
    <row r="39" spans="1:11" x14ac:dyDescent="0.2">
      <c r="A39">
        <v>18</v>
      </c>
      <c r="D39">
        <v>108.33</v>
      </c>
      <c r="K39" t="s">
        <v>97</v>
      </c>
    </row>
    <row r="40" spans="1:11" x14ac:dyDescent="0.2">
      <c r="A40">
        <v>18</v>
      </c>
      <c r="D40">
        <v>143.33000000000001</v>
      </c>
      <c r="K40" t="s">
        <v>98</v>
      </c>
    </row>
    <row r="41" spans="1:11" x14ac:dyDescent="0.2">
      <c r="A41">
        <v>18</v>
      </c>
      <c r="D41">
        <v>108.33</v>
      </c>
      <c r="K41" t="s">
        <v>99</v>
      </c>
    </row>
    <row r="42" spans="1:11" x14ac:dyDescent="0.2">
      <c r="A42">
        <v>18</v>
      </c>
      <c r="D42">
        <v>102.5</v>
      </c>
      <c r="K42" t="s">
        <v>70</v>
      </c>
    </row>
    <row r="43" spans="1:11" x14ac:dyDescent="0.2">
      <c r="A43">
        <v>18</v>
      </c>
      <c r="D43">
        <v>51</v>
      </c>
      <c r="K43" t="s">
        <v>100</v>
      </c>
    </row>
    <row r="44" spans="1:11" x14ac:dyDescent="0.2">
      <c r="A44">
        <v>18</v>
      </c>
      <c r="D44">
        <v>102.5</v>
      </c>
      <c r="K44" t="s">
        <v>95</v>
      </c>
    </row>
    <row r="45" spans="1:11" x14ac:dyDescent="0.2">
      <c r="A45">
        <v>18</v>
      </c>
      <c r="D45">
        <v>98.33</v>
      </c>
      <c r="K45" t="s">
        <v>101</v>
      </c>
    </row>
    <row r="46" spans="1:11" x14ac:dyDescent="0.2">
      <c r="A46">
        <v>18</v>
      </c>
      <c r="D46">
        <v>96.67</v>
      </c>
      <c r="K46" t="s">
        <v>47</v>
      </c>
    </row>
    <row r="47" spans="1:11" x14ac:dyDescent="0.2">
      <c r="A47">
        <v>18</v>
      </c>
      <c r="D47">
        <v>103.33</v>
      </c>
      <c r="K47" t="s">
        <v>88</v>
      </c>
    </row>
    <row r="48" spans="1:11" x14ac:dyDescent="0.2">
      <c r="A48">
        <v>18</v>
      </c>
      <c r="D48">
        <v>83.33</v>
      </c>
      <c r="K48" t="s">
        <v>83</v>
      </c>
    </row>
    <row r="49" spans="1:11" x14ac:dyDescent="0.2">
      <c r="A49">
        <v>18</v>
      </c>
      <c r="D49">
        <v>53.33</v>
      </c>
      <c r="K49" t="s">
        <v>89</v>
      </c>
    </row>
    <row r="50" spans="1:11" x14ac:dyDescent="0.2">
      <c r="A50">
        <v>18</v>
      </c>
      <c r="D50">
        <v>48.33</v>
      </c>
      <c r="K50" t="s">
        <v>93</v>
      </c>
    </row>
    <row r="51" spans="1:11" x14ac:dyDescent="0.2">
      <c r="A51">
        <v>18</v>
      </c>
      <c r="D51">
        <v>102.5</v>
      </c>
      <c r="K51" t="s">
        <v>70</v>
      </c>
    </row>
    <row r="52" spans="1:11" x14ac:dyDescent="0.2">
      <c r="A52">
        <v>18</v>
      </c>
      <c r="D52">
        <v>88.33</v>
      </c>
      <c r="K52" t="s">
        <v>75</v>
      </c>
    </row>
    <row r="53" spans="1:11" x14ac:dyDescent="0.2">
      <c r="A53">
        <v>18</v>
      </c>
      <c r="D53">
        <v>112.5</v>
      </c>
      <c r="K53" t="s">
        <v>91</v>
      </c>
    </row>
    <row r="54" spans="1:11" x14ac:dyDescent="0.2">
      <c r="A54">
        <v>18</v>
      </c>
      <c r="D54">
        <v>143.33000000000001</v>
      </c>
      <c r="K54" t="s">
        <v>98</v>
      </c>
    </row>
    <row r="55" spans="1:11" x14ac:dyDescent="0.2">
      <c r="A55">
        <v>18</v>
      </c>
      <c r="D55">
        <v>38.33</v>
      </c>
      <c r="K55" t="s">
        <v>102</v>
      </c>
    </row>
    <row r="56" spans="1:11" x14ac:dyDescent="0.2">
      <c r="A56">
        <v>18</v>
      </c>
      <c r="D56">
        <v>108.33</v>
      </c>
      <c r="K56" t="s">
        <v>99</v>
      </c>
    </row>
    <row r="57" spans="1:11" x14ac:dyDescent="0.2">
      <c r="A57">
        <v>18</v>
      </c>
      <c r="D57">
        <v>89.17</v>
      </c>
      <c r="K57" t="s">
        <v>81</v>
      </c>
    </row>
    <row r="58" spans="1:11" x14ac:dyDescent="0.2">
      <c r="A58">
        <v>18</v>
      </c>
      <c r="D58">
        <v>38.33</v>
      </c>
      <c r="K58" t="s">
        <v>36</v>
      </c>
    </row>
    <row r="59" spans="1:11" x14ac:dyDescent="0.2">
      <c r="A59">
        <v>18</v>
      </c>
      <c r="D59">
        <v>75</v>
      </c>
      <c r="K59" t="s">
        <v>77</v>
      </c>
    </row>
    <row r="60" spans="1:11" x14ac:dyDescent="0.2">
      <c r="A60">
        <v>18</v>
      </c>
      <c r="D60">
        <v>30</v>
      </c>
      <c r="K60" t="s">
        <v>103</v>
      </c>
    </row>
    <row r="61" spans="1:11" x14ac:dyDescent="0.2">
      <c r="A61">
        <v>18</v>
      </c>
      <c r="D61">
        <v>148.33000000000001</v>
      </c>
      <c r="K61" t="s">
        <v>78</v>
      </c>
    </row>
    <row r="62" spans="1:11" x14ac:dyDescent="0.2">
      <c r="A62">
        <v>18</v>
      </c>
      <c r="D62">
        <v>60</v>
      </c>
      <c r="K62" t="s">
        <v>104</v>
      </c>
    </row>
    <row r="63" spans="1:11" x14ac:dyDescent="0.2">
      <c r="A63">
        <v>18</v>
      </c>
      <c r="D63">
        <v>139.16999999999999</v>
      </c>
      <c r="K63" t="s">
        <v>58</v>
      </c>
    </row>
    <row r="64" spans="1:11" x14ac:dyDescent="0.2">
      <c r="A64">
        <v>18</v>
      </c>
      <c r="D64">
        <v>75</v>
      </c>
      <c r="K64" t="s">
        <v>50</v>
      </c>
    </row>
    <row r="65" spans="1:11" x14ac:dyDescent="0.2">
      <c r="A65">
        <v>18</v>
      </c>
      <c r="D65">
        <v>89.17</v>
      </c>
      <c r="K65" t="s">
        <v>75</v>
      </c>
    </row>
    <row r="66" spans="1:11" x14ac:dyDescent="0.2">
      <c r="A66">
        <v>18</v>
      </c>
      <c r="D66">
        <v>145</v>
      </c>
      <c r="K66" t="s">
        <v>105</v>
      </c>
    </row>
    <row r="67" spans="1:11" x14ac:dyDescent="0.2">
      <c r="A67">
        <v>18</v>
      </c>
      <c r="D67">
        <v>83.33</v>
      </c>
      <c r="K67" t="s">
        <v>106</v>
      </c>
    </row>
    <row r="68" spans="1:11" x14ac:dyDescent="0.2">
      <c r="A68">
        <v>18</v>
      </c>
      <c r="D68">
        <v>148.33000000000001</v>
      </c>
      <c r="K68" t="s">
        <v>107</v>
      </c>
    </row>
    <row r="69" spans="1:11" x14ac:dyDescent="0.2">
      <c r="A69">
        <v>18</v>
      </c>
      <c r="D69">
        <v>96.67</v>
      </c>
      <c r="K69" t="s">
        <v>90</v>
      </c>
    </row>
    <row r="70" spans="1:11" x14ac:dyDescent="0.2">
      <c r="A70">
        <v>18</v>
      </c>
      <c r="D70">
        <v>145</v>
      </c>
      <c r="K70" t="s">
        <v>105</v>
      </c>
    </row>
    <row r="71" spans="1:11" x14ac:dyDescent="0.2">
      <c r="A71">
        <v>18</v>
      </c>
      <c r="D71">
        <v>83.33</v>
      </c>
      <c r="K71" t="s">
        <v>83</v>
      </c>
    </row>
    <row r="72" spans="1:11" x14ac:dyDescent="0.2">
      <c r="A72">
        <v>18</v>
      </c>
      <c r="D72">
        <v>57</v>
      </c>
      <c r="K72" t="s">
        <v>102</v>
      </c>
    </row>
    <row r="73" spans="1:11" x14ac:dyDescent="0.2">
      <c r="A73">
        <v>18</v>
      </c>
      <c r="D73">
        <v>83.33</v>
      </c>
      <c r="K73" t="s">
        <v>83</v>
      </c>
    </row>
    <row r="74" spans="1:11" x14ac:dyDescent="0.2">
      <c r="A74">
        <v>18</v>
      </c>
      <c r="D74">
        <v>75</v>
      </c>
      <c r="K74" t="s">
        <v>88</v>
      </c>
    </row>
    <row r="75" spans="1:11" x14ac:dyDescent="0.2">
      <c r="A75">
        <v>18</v>
      </c>
      <c r="D75">
        <v>46</v>
      </c>
      <c r="K75" t="s">
        <v>89</v>
      </c>
    </row>
    <row r="76" spans="1:11" x14ac:dyDescent="0.2">
      <c r="A76">
        <v>18</v>
      </c>
      <c r="D76">
        <v>45</v>
      </c>
      <c r="K76" t="s">
        <v>108</v>
      </c>
    </row>
    <row r="77" spans="1:11" x14ac:dyDescent="0.2">
      <c r="A77">
        <v>18</v>
      </c>
      <c r="D77">
        <v>89.17</v>
      </c>
      <c r="K77" t="s">
        <v>81</v>
      </c>
    </row>
    <row r="78" spans="1:11" x14ac:dyDescent="0.2">
      <c r="A78">
        <v>18</v>
      </c>
      <c r="D78">
        <v>83.33</v>
      </c>
      <c r="K78" t="s">
        <v>106</v>
      </c>
    </row>
    <row r="79" spans="1:11" x14ac:dyDescent="0.2">
      <c r="A79">
        <v>18</v>
      </c>
      <c r="D79">
        <v>83.33</v>
      </c>
      <c r="K79" t="s">
        <v>106</v>
      </c>
    </row>
    <row r="80" spans="1:11" x14ac:dyDescent="0.2">
      <c r="A80">
        <v>18</v>
      </c>
      <c r="D80">
        <v>96.67</v>
      </c>
      <c r="K80" t="s">
        <v>90</v>
      </c>
    </row>
    <row r="81" spans="1:11" x14ac:dyDescent="0.2">
      <c r="A81">
        <v>18</v>
      </c>
      <c r="D81">
        <v>105.83</v>
      </c>
      <c r="K81" t="s">
        <v>71</v>
      </c>
    </row>
    <row r="82" spans="1:11" x14ac:dyDescent="0.2">
      <c r="A82">
        <v>18</v>
      </c>
      <c r="D82">
        <v>19</v>
      </c>
      <c r="K82" t="s">
        <v>109</v>
      </c>
    </row>
    <row r="83" spans="1:11" x14ac:dyDescent="0.2">
      <c r="A83">
        <v>18</v>
      </c>
      <c r="D83">
        <v>145</v>
      </c>
      <c r="K83" t="s">
        <v>105</v>
      </c>
    </row>
    <row r="84" spans="1:11" x14ac:dyDescent="0.2">
      <c r="A84">
        <v>18</v>
      </c>
      <c r="D84">
        <v>145</v>
      </c>
      <c r="K84" t="s">
        <v>110</v>
      </c>
    </row>
    <row r="85" spans="1:11" x14ac:dyDescent="0.2">
      <c r="A85">
        <v>18</v>
      </c>
      <c r="D85">
        <v>96.67</v>
      </c>
      <c r="K85" t="s">
        <v>90</v>
      </c>
    </row>
    <row r="86" spans="1:11" x14ac:dyDescent="0.2">
      <c r="A86">
        <v>18</v>
      </c>
      <c r="D86">
        <v>115</v>
      </c>
      <c r="K86" t="s">
        <v>41</v>
      </c>
    </row>
    <row r="87" spans="1:11" x14ac:dyDescent="0.2">
      <c r="A87">
        <v>18</v>
      </c>
      <c r="D87">
        <v>59</v>
      </c>
      <c r="K87" t="s">
        <v>92</v>
      </c>
    </row>
    <row r="88" spans="1:11" x14ac:dyDescent="0.2">
      <c r="A88">
        <v>18</v>
      </c>
      <c r="D88">
        <v>79</v>
      </c>
      <c r="K88" t="s">
        <v>47</v>
      </c>
    </row>
    <row r="89" spans="1:11" x14ac:dyDescent="0.2">
      <c r="A89">
        <v>18</v>
      </c>
      <c r="D89">
        <v>109</v>
      </c>
      <c r="K89" t="s">
        <v>62</v>
      </c>
    </row>
    <row r="90" spans="1:11" x14ac:dyDescent="0.2">
      <c r="A90">
        <v>18</v>
      </c>
      <c r="D90">
        <v>59</v>
      </c>
      <c r="K90" t="s">
        <v>92</v>
      </c>
    </row>
    <row r="91" spans="1:11" x14ac:dyDescent="0.2">
      <c r="A91">
        <v>18</v>
      </c>
      <c r="D91">
        <v>102.5</v>
      </c>
      <c r="K91" t="s">
        <v>70</v>
      </c>
    </row>
    <row r="92" spans="1:11" x14ac:dyDescent="0.2">
      <c r="A92">
        <v>18</v>
      </c>
      <c r="D92">
        <v>98.33</v>
      </c>
      <c r="K92" t="s">
        <v>101</v>
      </c>
    </row>
    <row r="93" spans="1:11" x14ac:dyDescent="0.2">
      <c r="A93">
        <v>18</v>
      </c>
      <c r="D93">
        <v>96.67</v>
      </c>
      <c r="K93" t="s">
        <v>90</v>
      </c>
    </row>
    <row r="94" spans="1:11" x14ac:dyDescent="0.2">
      <c r="A94">
        <v>18</v>
      </c>
      <c r="D94">
        <v>145</v>
      </c>
      <c r="K94" t="s">
        <v>105</v>
      </c>
    </row>
    <row r="95" spans="1:11" x14ac:dyDescent="0.2">
      <c r="A95">
        <v>18</v>
      </c>
      <c r="D95">
        <v>89.17</v>
      </c>
      <c r="K95" t="s">
        <v>81</v>
      </c>
    </row>
    <row r="96" spans="1:11" x14ac:dyDescent="0.2">
      <c r="A96">
        <v>18</v>
      </c>
      <c r="D96">
        <v>108.33</v>
      </c>
      <c r="K96" t="s">
        <v>97</v>
      </c>
    </row>
    <row r="97" spans="1:11" x14ac:dyDescent="0.2">
      <c r="A97">
        <v>18</v>
      </c>
      <c r="D97">
        <v>96.67</v>
      </c>
      <c r="K97" t="s">
        <v>96</v>
      </c>
    </row>
    <row r="98" spans="1:11" x14ac:dyDescent="0.2">
      <c r="A98">
        <v>18</v>
      </c>
      <c r="D98">
        <v>139.16999999999999</v>
      </c>
      <c r="K98" t="s">
        <v>58</v>
      </c>
    </row>
    <row r="99" spans="1:11" x14ac:dyDescent="0.2">
      <c r="A99">
        <v>18</v>
      </c>
      <c r="D99">
        <v>148.33000000000001</v>
      </c>
      <c r="K99" t="s">
        <v>107</v>
      </c>
    </row>
    <row r="100" spans="1:11" x14ac:dyDescent="0.2">
      <c r="A100">
        <v>18</v>
      </c>
      <c r="D100">
        <v>143.33000000000001</v>
      </c>
      <c r="K100" t="s">
        <v>98</v>
      </c>
    </row>
    <row r="101" spans="1:11" x14ac:dyDescent="0.2">
      <c r="A101">
        <v>18</v>
      </c>
      <c r="D101">
        <v>80</v>
      </c>
      <c r="K101" t="s">
        <v>105</v>
      </c>
    </row>
    <row r="102" spans="1:11" x14ac:dyDescent="0.2">
      <c r="A102">
        <v>18</v>
      </c>
      <c r="D102">
        <v>121</v>
      </c>
      <c r="K102" t="s">
        <v>65</v>
      </c>
    </row>
    <row r="103" spans="1:11" x14ac:dyDescent="0.2">
      <c r="A103">
        <v>18</v>
      </c>
      <c r="D103">
        <v>114</v>
      </c>
      <c r="K103" t="s">
        <v>41</v>
      </c>
    </row>
    <row r="104" spans="1:11" x14ac:dyDescent="0.2">
      <c r="A104">
        <v>18</v>
      </c>
      <c r="D104">
        <v>53</v>
      </c>
      <c r="K104" t="s">
        <v>50</v>
      </c>
    </row>
    <row r="105" spans="1:11" x14ac:dyDescent="0.2">
      <c r="A105">
        <v>18</v>
      </c>
      <c r="D105">
        <v>86</v>
      </c>
      <c r="K105" t="s">
        <v>111</v>
      </c>
    </row>
    <row r="106" spans="1:11" x14ac:dyDescent="0.2">
      <c r="A106">
        <v>18</v>
      </c>
      <c r="D106">
        <v>57</v>
      </c>
      <c r="K106" t="s">
        <v>83</v>
      </c>
    </row>
    <row r="107" spans="1:11" x14ac:dyDescent="0.2">
      <c r="A107">
        <v>18</v>
      </c>
      <c r="D107">
        <v>36</v>
      </c>
      <c r="K107" t="s">
        <v>67</v>
      </c>
    </row>
    <row r="108" spans="1:11" x14ac:dyDescent="0.2">
      <c r="A108">
        <v>18</v>
      </c>
      <c r="D108">
        <v>67</v>
      </c>
      <c r="K108" t="s">
        <v>81</v>
      </c>
    </row>
    <row r="109" spans="1:11" x14ac:dyDescent="0.2">
      <c r="A109">
        <v>18</v>
      </c>
      <c r="D109">
        <v>96</v>
      </c>
      <c r="K109" t="s">
        <v>98</v>
      </c>
    </row>
    <row r="110" spans="1:11" x14ac:dyDescent="0.2">
      <c r="A110">
        <v>18</v>
      </c>
      <c r="D110">
        <v>54</v>
      </c>
      <c r="K110" t="s">
        <v>93</v>
      </c>
    </row>
    <row r="111" spans="1:11" x14ac:dyDescent="0.2">
      <c r="A111">
        <v>18</v>
      </c>
      <c r="D111">
        <v>54</v>
      </c>
      <c r="K111" t="s">
        <v>93</v>
      </c>
    </row>
    <row r="112" spans="1:11" x14ac:dyDescent="0.2">
      <c r="A112">
        <v>18</v>
      </c>
      <c r="D112">
        <v>102.5</v>
      </c>
      <c r="K112" t="s">
        <v>70</v>
      </c>
    </row>
    <row r="113" spans="1:11" x14ac:dyDescent="0.2">
      <c r="A113">
        <v>18</v>
      </c>
      <c r="D113">
        <v>86</v>
      </c>
      <c r="K113" t="s">
        <v>95</v>
      </c>
    </row>
    <row r="114" spans="1:11" x14ac:dyDescent="0.2">
      <c r="A114">
        <v>18</v>
      </c>
      <c r="D114">
        <v>111</v>
      </c>
      <c r="K114" t="s">
        <v>97</v>
      </c>
    </row>
    <row r="115" spans="1:11" x14ac:dyDescent="0.2">
      <c r="A115">
        <v>18</v>
      </c>
      <c r="D115">
        <v>51</v>
      </c>
      <c r="K115" t="s">
        <v>104</v>
      </c>
    </row>
    <row r="116" spans="1:11" x14ac:dyDescent="0.2">
      <c r="A116">
        <v>18</v>
      </c>
      <c r="D116">
        <v>86</v>
      </c>
      <c r="K116" t="s">
        <v>95</v>
      </c>
    </row>
    <row r="117" spans="1:11" x14ac:dyDescent="0.2">
      <c r="A117">
        <v>18</v>
      </c>
      <c r="D117">
        <v>84</v>
      </c>
      <c r="K117" t="s">
        <v>112</v>
      </c>
    </row>
    <row r="118" spans="1:11" x14ac:dyDescent="0.2">
      <c r="A118">
        <v>18</v>
      </c>
      <c r="D118">
        <v>86</v>
      </c>
      <c r="K118" t="s">
        <v>111</v>
      </c>
    </row>
    <row r="119" spans="1:11" x14ac:dyDescent="0.2">
      <c r="A119">
        <v>18</v>
      </c>
      <c r="D119">
        <v>86</v>
      </c>
      <c r="K119" t="s">
        <v>95</v>
      </c>
    </row>
    <row r="120" spans="1:11" x14ac:dyDescent="0.2">
      <c r="A120">
        <v>18</v>
      </c>
      <c r="D120">
        <v>19</v>
      </c>
      <c r="K120" t="s">
        <v>86</v>
      </c>
    </row>
    <row r="121" spans="1:11" x14ac:dyDescent="0.2">
      <c r="A121">
        <v>18</v>
      </c>
      <c r="D121">
        <v>51</v>
      </c>
      <c r="K121" t="s">
        <v>104</v>
      </c>
    </row>
    <row r="122" spans="1:11" x14ac:dyDescent="0.2">
      <c r="A122">
        <v>18</v>
      </c>
      <c r="D122">
        <v>67</v>
      </c>
      <c r="K122" t="s">
        <v>113</v>
      </c>
    </row>
    <row r="123" spans="1:11" x14ac:dyDescent="0.2">
      <c r="A123">
        <v>18</v>
      </c>
      <c r="D123">
        <v>36</v>
      </c>
      <c r="K123" t="s">
        <v>114</v>
      </c>
    </row>
    <row r="124" spans="1:11" x14ac:dyDescent="0.2">
      <c r="A124">
        <v>18</v>
      </c>
      <c r="D124">
        <v>86</v>
      </c>
      <c r="K124" t="s">
        <v>111</v>
      </c>
    </row>
    <row r="125" spans="1:11" x14ac:dyDescent="0.2">
      <c r="A125">
        <v>18</v>
      </c>
      <c r="D125">
        <v>86</v>
      </c>
      <c r="K125" t="s">
        <v>95</v>
      </c>
    </row>
    <row r="126" spans="1:11" x14ac:dyDescent="0.2">
      <c r="A126">
        <v>18</v>
      </c>
      <c r="D126">
        <v>125</v>
      </c>
      <c r="K126" t="s">
        <v>54</v>
      </c>
    </row>
    <row r="127" spans="1:11" x14ac:dyDescent="0.2">
      <c r="A127">
        <v>18</v>
      </c>
      <c r="D127">
        <v>96.67</v>
      </c>
      <c r="K127" t="s">
        <v>80</v>
      </c>
    </row>
    <row r="128" spans="1:11" x14ac:dyDescent="0.2">
      <c r="A128">
        <v>18</v>
      </c>
      <c r="D128">
        <v>89.17</v>
      </c>
      <c r="K128" t="s">
        <v>81</v>
      </c>
    </row>
    <row r="129" spans="1:11" x14ac:dyDescent="0.2">
      <c r="A129">
        <v>18</v>
      </c>
      <c r="D129">
        <v>102.5</v>
      </c>
      <c r="K129" t="s">
        <v>70</v>
      </c>
    </row>
    <row r="130" spans="1:11" x14ac:dyDescent="0.2">
      <c r="A130">
        <v>18</v>
      </c>
      <c r="D130">
        <v>96</v>
      </c>
      <c r="K130" t="s">
        <v>110</v>
      </c>
    </row>
    <row r="131" spans="1:11" x14ac:dyDescent="0.2">
      <c r="A131">
        <v>18</v>
      </c>
      <c r="D131">
        <v>51</v>
      </c>
      <c r="K131" t="s">
        <v>104</v>
      </c>
    </row>
    <row r="132" spans="1:11" x14ac:dyDescent="0.2">
      <c r="A132">
        <v>18</v>
      </c>
      <c r="D132">
        <v>39</v>
      </c>
      <c r="K132" t="s">
        <v>108</v>
      </c>
    </row>
    <row r="133" spans="1:11" x14ac:dyDescent="0.2">
      <c r="A133">
        <v>18</v>
      </c>
      <c r="D133">
        <v>67</v>
      </c>
      <c r="K133" t="s">
        <v>113</v>
      </c>
    </row>
    <row r="134" spans="1:11" x14ac:dyDescent="0.2">
      <c r="A134">
        <v>18</v>
      </c>
      <c r="D134">
        <v>102.5</v>
      </c>
      <c r="K134" t="s">
        <v>70</v>
      </c>
    </row>
    <row r="135" spans="1:11" x14ac:dyDescent="0.2">
      <c r="A135">
        <v>18</v>
      </c>
      <c r="D135">
        <v>48.33</v>
      </c>
      <c r="K135" t="s">
        <v>93</v>
      </c>
    </row>
    <row r="136" spans="1:11" x14ac:dyDescent="0.2">
      <c r="A136">
        <v>18</v>
      </c>
      <c r="D136">
        <v>39</v>
      </c>
      <c r="K136" t="s">
        <v>108</v>
      </c>
    </row>
    <row r="137" spans="1:11" x14ac:dyDescent="0.2">
      <c r="A137">
        <v>18</v>
      </c>
      <c r="D137">
        <v>139.16999999999999</v>
      </c>
      <c r="K137" t="s">
        <v>58</v>
      </c>
    </row>
    <row r="138" spans="1:11" x14ac:dyDescent="0.2">
      <c r="A138">
        <v>18</v>
      </c>
      <c r="D138">
        <v>102.5</v>
      </c>
      <c r="K138" t="s">
        <v>70</v>
      </c>
    </row>
    <row r="139" spans="1:11" x14ac:dyDescent="0.2">
      <c r="A139">
        <v>18</v>
      </c>
      <c r="D139">
        <v>96</v>
      </c>
      <c r="K139" t="s">
        <v>110</v>
      </c>
    </row>
    <row r="140" spans="1:11" x14ac:dyDescent="0.2">
      <c r="A140">
        <v>18</v>
      </c>
      <c r="D140">
        <v>102.5</v>
      </c>
      <c r="K140" t="s">
        <v>70</v>
      </c>
    </row>
    <row r="141" spans="1:11" x14ac:dyDescent="0.2">
      <c r="A141">
        <v>18</v>
      </c>
      <c r="D141">
        <v>103.33</v>
      </c>
      <c r="K141" t="s">
        <v>88</v>
      </c>
    </row>
    <row r="142" spans="1:11" x14ac:dyDescent="0.2">
      <c r="A142">
        <v>18</v>
      </c>
      <c r="D142">
        <v>21.67</v>
      </c>
      <c r="K142" t="s">
        <v>86</v>
      </c>
    </row>
    <row r="143" spans="1:11" x14ac:dyDescent="0.2">
      <c r="A143">
        <v>18</v>
      </c>
      <c r="D143">
        <v>45</v>
      </c>
      <c r="K143" t="s">
        <v>108</v>
      </c>
    </row>
    <row r="144" spans="1:11" x14ac:dyDescent="0.2">
      <c r="A144">
        <v>18</v>
      </c>
      <c r="D144">
        <v>50</v>
      </c>
      <c r="K144" t="s">
        <v>67</v>
      </c>
    </row>
    <row r="145" spans="1:11" x14ac:dyDescent="0.2">
      <c r="A145">
        <v>18</v>
      </c>
      <c r="D145">
        <v>105.83</v>
      </c>
      <c r="K145" t="s">
        <v>71</v>
      </c>
    </row>
    <row r="146" spans="1:11" x14ac:dyDescent="0.2">
      <c r="A146">
        <v>18</v>
      </c>
      <c r="D146">
        <v>148.33000000000001</v>
      </c>
      <c r="K146" t="s">
        <v>78</v>
      </c>
    </row>
    <row r="147" spans="1:11" x14ac:dyDescent="0.2">
      <c r="A147">
        <v>18</v>
      </c>
      <c r="D147">
        <v>83.33</v>
      </c>
      <c r="K147" t="s">
        <v>106</v>
      </c>
    </row>
    <row r="148" spans="1:11" x14ac:dyDescent="0.2">
      <c r="A148">
        <v>18</v>
      </c>
      <c r="D148">
        <v>45</v>
      </c>
      <c r="K148" t="s">
        <v>108</v>
      </c>
    </row>
    <row r="149" spans="1:11" x14ac:dyDescent="0.2">
      <c r="A149">
        <v>18</v>
      </c>
      <c r="D149">
        <v>88.33</v>
      </c>
      <c r="K149" t="s">
        <v>75</v>
      </c>
    </row>
    <row r="150" spans="1:11" x14ac:dyDescent="0.2">
      <c r="A150">
        <v>18</v>
      </c>
      <c r="D150">
        <v>103.33</v>
      </c>
      <c r="K150" t="s">
        <v>111</v>
      </c>
    </row>
    <row r="151" spans="1:11" x14ac:dyDescent="0.2">
      <c r="A151">
        <v>18</v>
      </c>
      <c r="D151">
        <v>21.67</v>
      </c>
      <c r="K151"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D9C54-FEB8-49DD-BDCE-B8F33C1A9029}">
  <dimension ref="I1:K150"/>
  <sheetViews>
    <sheetView workbookViewId="0">
      <selection activeCell="K1" sqref="K1"/>
    </sheetView>
  </sheetViews>
  <sheetFormatPr defaultRowHeight="14.25" x14ac:dyDescent="0.2"/>
  <cols>
    <col min="9" max="9" width="18.875" bestFit="1" customWidth="1"/>
  </cols>
  <sheetData>
    <row r="1" spans="9:11" x14ac:dyDescent="0.2">
      <c r="I1" t="s">
        <v>28</v>
      </c>
      <c r="K1" t="e">
        <f>_xlfn.MUNIT(I1:I150)</f>
        <v>#VALUE!</v>
      </c>
    </row>
    <row r="2" spans="9:11" x14ac:dyDescent="0.2">
      <c r="I2" t="s">
        <v>36</v>
      </c>
    </row>
    <row r="3" spans="9:11" x14ac:dyDescent="0.2">
      <c r="I3" t="s">
        <v>41</v>
      </c>
    </row>
    <row r="4" spans="9:11" x14ac:dyDescent="0.2">
      <c r="I4" t="s">
        <v>47</v>
      </c>
    </row>
    <row r="5" spans="9:11" x14ac:dyDescent="0.2">
      <c r="I5" t="s">
        <v>50</v>
      </c>
    </row>
    <row r="6" spans="9:11" x14ac:dyDescent="0.2">
      <c r="I6" t="s">
        <v>54</v>
      </c>
    </row>
    <row r="7" spans="9:11" x14ac:dyDescent="0.2">
      <c r="I7" t="s">
        <v>58</v>
      </c>
    </row>
    <row r="8" spans="9:11" x14ac:dyDescent="0.2">
      <c r="I8" t="s">
        <v>62</v>
      </c>
    </row>
    <row r="9" spans="9:11" x14ac:dyDescent="0.2">
      <c r="I9" t="s">
        <v>65</v>
      </c>
    </row>
    <row r="10" spans="9:11" x14ac:dyDescent="0.2">
      <c r="I10" t="s">
        <v>28</v>
      </c>
    </row>
    <row r="11" spans="9:11" x14ac:dyDescent="0.2">
      <c r="I11" t="s">
        <v>67</v>
      </c>
    </row>
    <row r="12" spans="9:11" x14ac:dyDescent="0.2">
      <c r="I12" t="s">
        <v>70</v>
      </c>
    </row>
    <row r="13" spans="9:11" x14ac:dyDescent="0.2">
      <c r="I13" t="s">
        <v>71</v>
      </c>
    </row>
    <row r="14" spans="9:11" x14ac:dyDescent="0.2">
      <c r="I14" t="s">
        <v>47</v>
      </c>
    </row>
    <row r="15" spans="9:11" x14ac:dyDescent="0.2">
      <c r="I15" t="s">
        <v>58</v>
      </c>
    </row>
    <row r="16" spans="9:11" x14ac:dyDescent="0.2">
      <c r="I16" t="s">
        <v>74</v>
      </c>
    </row>
    <row r="17" spans="9:9" x14ac:dyDescent="0.2">
      <c r="I17" t="s">
        <v>75</v>
      </c>
    </row>
    <row r="18" spans="9:9" x14ac:dyDescent="0.2">
      <c r="I18" t="s">
        <v>77</v>
      </c>
    </row>
    <row r="19" spans="9:9" x14ac:dyDescent="0.2">
      <c r="I19" t="s">
        <v>78</v>
      </c>
    </row>
    <row r="20" spans="9:9" x14ac:dyDescent="0.2">
      <c r="I20" t="s">
        <v>80</v>
      </c>
    </row>
    <row r="21" spans="9:9" x14ac:dyDescent="0.2">
      <c r="I21" t="s">
        <v>81</v>
      </c>
    </row>
    <row r="22" spans="9:9" x14ac:dyDescent="0.2">
      <c r="I22" t="s">
        <v>62</v>
      </c>
    </row>
    <row r="23" spans="9:9" x14ac:dyDescent="0.2">
      <c r="I23" t="s">
        <v>83</v>
      </c>
    </row>
    <row r="24" spans="9:9" x14ac:dyDescent="0.2">
      <c r="I24" t="s">
        <v>74</v>
      </c>
    </row>
    <row r="25" spans="9:9" x14ac:dyDescent="0.2">
      <c r="I25" t="s">
        <v>86</v>
      </c>
    </row>
    <row r="26" spans="9:9" x14ac:dyDescent="0.2">
      <c r="I26" t="s">
        <v>87</v>
      </c>
    </row>
    <row r="27" spans="9:9" x14ac:dyDescent="0.2">
      <c r="I27" t="s">
        <v>77</v>
      </c>
    </row>
    <row r="28" spans="9:9" x14ac:dyDescent="0.2">
      <c r="I28" t="s">
        <v>88</v>
      </c>
    </row>
    <row r="29" spans="9:9" x14ac:dyDescent="0.2">
      <c r="I29" t="s">
        <v>89</v>
      </c>
    </row>
    <row r="30" spans="9:9" x14ac:dyDescent="0.2">
      <c r="I30" t="s">
        <v>90</v>
      </c>
    </row>
    <row r="31" spans="9:9" x14ac:dyDescent="0.2">
      <c r="I31" t="s">
        <v>91</v>
      </c>
    </row>
    <row r="32" spans="9:9" x14ac:dyDescent="0.2">
      <c r="I32" t="s">
        <v>47</v>
      </c>
    </row>
    <row r="33" spans="9:9" x14ac:dyDescent="0.2">
      <c r="I33" t="s">
        <v>92</v>
      </c>
    </row>
    <row r="34" spans="9:9" x14ac:dyDescent="0.2">
      <c r="I34" t="s">
        <v>93</v>
      </c>
    </row>
    <row r="35" spans="9:9" x14ac:dyDescent="0.2">
      <c r="I35" t="s">
        <v>88</v>
      </c>
    </row>
    <row r="36" spans="9:9" x14ac:dyDescent="0.2">
      <c r="I36" t="s">
        <v>95</v>
      </c>
    </row>
    <row r="37" spans="9:9" x14ac:dyDescent="0.2">
      <c r="I37" t="s">
        <v>96</v>
      </c>
    </row>
    <row r="38" spans="9:9" x14ac:dyDescent="0.2">
      <c r="I38" t="s">
        <v>97</v>
      </c>
    </row>
    <row r="39" spans="9:9" x14ac:dyDescent="0.2">
      <c r="I39" t="s">
        <v>98</v>
      </c>
    </row>
    <row r="40" spans="9:9" x14ac:dyDescent="0.2">
      <c r="I40" t="s">
        <v>99</v>
      </c>
    </row>
    <row r="41" spans="9:9" x14ac:dyDescent="0.2">
      <c r="I41" t="s">
        <v>70</v>
      </c>
    </row>
    <row r="42" spans="9:9" x14ac:dyDescent="0.2">
      <c r="I42" t="s">
        <v>100</v>
      </c>
    </row>
    <row r="43" spans="9:9" x14ac:dyDescent="0.2">
      <c r="I43" t="s">
        <v>95</v>
      </c>
    </row>
    <row r="44" spans="9:9" x14ac:dyDescent="0.2">
      <c r="I44" t="s">
        <v>101</v>
      </c>
    </row>
    <row r="45" spans="9:9" x14ac:dyDescent="0.2">
      <c r="I45" t="s">
        <v>47</v>
      </c>
    </row>
    <row r="46" spans="9:9" x14ac:dyDescent="0.2">
      <c r="I46" t="s">
        <v>88</v>
      </c>
    </row>
    <row r="47" spans="9:9" x14ac:dyDescent="0.2">
      <c r="I47" t="s">
        <v>83</v>
      </c>
    </row>
    <row r="48" spans="9:9" x14ac:dyDescent="0.2">
      <c r="I48" t="s">
        <v>89</v>
      </c>
    </row>
    <row r="49" spans="9:9" x14ac:dyDescent="0.2">
      <c r="I49" t="s">
        <v>93</v>
      </c>
    </row>
    <row r="50" spans="9:9" x14ac:dyDescent="0.2">
      <c r="I50" t="s">
        <v>70</v>
      </c>
    </row>
    <row r="51" spans="9:9" x14ac:dyDescent="0.2">
      <c r="I51" t="s">
        <v>75</v>
      </c>
    </row>
    <row r="52" spans="9:9" x14ac:dyDescent="0.2">
      <c r="I52" t="s">
        <v>91</v>
      </c>
    </row>
    <row r="53" spans="9:9" x14ac:dyDescent="0.2">
      <c r="I53" t="s">
        <v>98</v>
      </c>
    </row>
    <row r="54" spans="9:9" x14ac:dyDescent="0.2">
      <c r="I54" t="s">
        <v>102</v>
      </c>
    </row>
    <row r="55" spans="9:9" x14ac:dyDescent="0.2">
      <c r="I55" t="s">
        <v>99</v>
      </c>
    </row>
    <row r="56" spans="9:9" x14ac:dyDescent="0.2">
      <c r="I56" t="s">
        <v>81</v>
      </c>
    </row>
    <row r="57" spans="9:9" x14ac:dyDescent="0.2">
      <c r="I57" t="s">
        <v>36</v>
      </c>
    </row>
    <row r="58" spans="9:9" x14ac:dyDescent="0.2">
      <c r="I58" t="s">
        <v>77</v>
      </c>
    </row>
    <row r="59" spans="9:9" x14ac:dyDescent="0.2">
      <c r="I59" t="s">
        <v>103</v>
      </c>
    </row>
    <row r="60" spans="9:9" x14ac:dyDescent="0.2">
      <c r="I60" t="s">
        <v>78</v>
      </c>
    </row>
    <row r="61" spans="9:9" x14ac:dyDescent="0.2">
      <c r="I61" t="s">
        <v>104</v>
      </c>
    </row>
    <row r="62" spans="9:9" x14ac:dyDescent="0.2">
      <c r="I62" t="s">
        <v>58</v>
      </c>
    </row>
    <row r="63" spans="9:9" x14ac:dyDescent="0.2">
      <c r="I63" t="s">
        <v>50</v>
      </c>
    </row>
    <row r="64" spans="9:9" x14ac:dyDescent="0.2">
      <c r="I64" t="s">
        <v>75</v>
      </c>
    </row>
    <row r="65" spans="9:9" x14ac:dyDescent="0.2">
      <c r="I65" t="s">
        <v>105</v>
      </c>
    </row>
    <row r="66" spans="9:9" x14ac:dyDescent="0.2">
      <c r="I66" t="s">
        <v>106</v>
      </c>
    </row>
    <row r="67" spans="9:9" x14ac:dyDescent="0.2">
      <c r="I67" t="s">
        <v>107</v>
      </c>
    </row>
    <row r="68" spans="9:9" x14ac:dyDescent="0.2">
      <c r="I68" t="s">
        <v>90</v>
      </c>
    </row>
    <row r="69" spans="9:9" x14ac:dyDescent="0.2">
      <c r="I69" t="s">
        <v>105</v>
      </c>
    </row>
    <row r="70" spans="9:9" x14ac:dyDescent="0.2">
      <c r="I70" t="s">
        <v>83</v>
      </c>
    </row>
    <row r="71" spans="9:9" x14ac:dyDescent="0.2">
      <c r="I71" t="s">
        <v>102</v>
      </c>
    </row>
    <row r="72" spans="9:9" x14ac:dyDescent="0.2">
      <c r="I72" t="s">
        <v>83</v>
      </c>
    </row>
    <row r="73" spans="9:9" x14ac:dyDescent="0.2">
      <c r="I73" t="s">
        <v>88</v>
      </c>
    </row>
    <row r="74" spans="9:9" x14ac:dyDescent="0.2">
      <c r="I74" t="s">
        <v>89</v>
      </c>
    </row>
    <row r="75" spans="9:9" x14ac:dyDescent="0.2">
      <c r="I75" t="s">
        <v>108</v>
      </c>
    </row>
    <row r="76" spans="9:9" x14ac:dyDescent="0.2">
      <c r="I76" t="s">
        <v>81</v>
      </c>
    </row>
    <row r="77" spans="9:9" x14ac:dyDescent="0.2">
      <c r="I77" t="s">
        <v>106</v>
      </c>
    </row>
    <row r="78" spans="9:9" x14ac:dyDescent="0.2">
      <c r="I78" t="s">
        <v>106</v>
      </c>
    </row>
    <row r="79" spans="9:9" x14ac:dyDescent="0.2">
      <c r="I79" t="s">
        <v>90</v>
      </c>
    </row>
    <row r="80" spans="9:9" x14ac:dyDescent="0.2">
      <c r="I80" t="s">
        <v>71</v>
      </c>
    </row>
    <row r="81" spans="9:9" x14ac:dyDescent="0.2">
      <c r="I81" t="s">
        <v>109</v>
      </c>
    </row>
    <row r="82" spans="9:9" x14ac:dyDescent="0.2">
      <c r="I82" t="s">
        <v>105</v>
      </c>
    </row>
    <row r="83" spans="9:9" x14ac:dyDescent="0.2">
      <c r="I83" t="s">
        <v>110</v>
      </c>
    </row>
    <row r="84" spans="9:9" x14ac:dyDescent="0.2">
      <c r="I84" t="s">
        <v>90</v>
      </c>
    </row>
    <row r="85" spans="9:9" x14ac:dyDescent="0.2">
      <c r="I85" t="s">
        <v>41</v>
      </c>
    </row>
    <row r="86" spans="9:9" x14ac:dyDescent="0.2">
      <c r="I86" t="s">
        <v>92</v>
      </c>
    </row>
    <row r="87" spans="9:9" x14ac:dyDescent="0.2">
      <c r="I87" t="s">
        <v>47</v>
      </c>
    </row>
    <row r="88" spans="9:9" x14ac:dyDescent="0.2">
      <c r="I88" t="s">
        <v>62</v>
      </c>
    </row>
    <row r="89" spans="9:9" x14ac:dyDescent="0.2">
      <c r="I89" t="s">
        <v>92</v>
      </c>
    </row>
    <row r="90" spans="9:9" x14ac:dyDescent="0.2">
      <c r="I90" t="s">
        <v>70</v>
      </c>
    </row>
    <row r="91" spans="9:9" x14ac:dyDescent="0.2">
      <c r="I91" t="s">
        <v>101</v>
      </c>
    </row>
    <row r="92" spans="9:9" x14ac:dyDescent="0.2">
      <c r="I92" t="s">
        <v>90</v>
      </c>
    </row>
    <row r="93" spans="9:9" x14ac:dyDescent="0.2">
      <c r="I93" t="s">
        <v>105</v>
      </c>
    </row>
    <row r="94" spans="9:9" x14ac:dyDescent="0.2">
      <c r="I94" t="s">
        <v>81</v>
      </c>
    </row>
    <row r="95" spans="9:9" x14ac:dyDescent="0.2">
      <c r="I95" t="s">
        <v>97</v>
      </c>
    </row>
    <row r="96" spans="9:9" x14ac:dyDescent="0.2">
      <c r="I96" t="s">
        <v>96</v>
      </c>
    </row>
    <row r="97" spans="9:9" x14ac:dyDescent="0.2">
      <c r="I97" t="s">
        <v>58</v>
      </c>
    </row>
    <row r="98" spans="9:9" x14ac:dyDescent="0.2">
      <c r="I98" t="s">
        <v>107</v>
      </c>
    </row>
    <row r="99" spans="9:9" x14ac:dyDescent="0.2">
      <c r="I99" t="s">
        <v>98</v>
      </c>
    </row>
    <row r="100" spans="9:9" x14ac:dyDescent="0.2">
      <c r="I100" t="s">
        <v>105</v>
      </c>
    </row>
    <row r="101" spans="9:9" x14ac:dyDescent="0.2">
      <c r="I101" t="s">
        <v>65</v>
      </c>
    </row>
    <row r="102" spans="9:9" x14ac:dyDescent="0.2">
      <c r="I102" t="s">
        <v>41</v>
      </c>
    </row>
    <row r="103" spans="9:9" x14ac:dyDescent="0.2">
      <c r="I103" t="s">
        <v>50</v>
      </c>
    </row>
    <row r="104" spans="9:9" x14ac:dyDescent="0.2">
      <c r="I104" t="s">
        <v>111</v>
      </c>
    </row>
    <row r="105" spans="9:9" x14ac:dyDescent="0.2">
      <c r="I105" t="s">
        <v>83</v>
      </c>
    </row>
    <row r="106" spans="9:9" x14ac:dyDescent="0.2">
      <c r="I106" t="s">
        <v>67</v>
      </c>
    </row>
    <row r="107" spans="9:9" x14ac:dyDescent="0.2">
      <c r="I107" t="s">
        <v>81</v>
      </c>
    </row>
    <row r="108" spans="9:9" x14ac:dyDescent="0.2">
      <c r="I108" t="s">
        <v>98</v>
      </c>
    </row>
    <row r="109" spans="9:9" x14ac:dyDescent="0.2">
      <c r="I109" t="s">
        <v>93</v>
      </c>
    </row>
    <row r="110" spans="9:9" x14ac:dyDescent="0.2">
      <c r="I110" t="s">
        <v>93</v>
      </c>
    </row>
    <row r="111" spans="9:9" x14ac:dyDescent="0.2">
      <c r="I111" t="s">
        <v>70</v>
      </c>
    </row>
    <row r="112" spans="9:9" x14ac:dyDescent="0.2">
      <c r="I112" t="s">
        <v>95</v>
      </c>
    </row>
    <row r="113" spans="9:9" x14ac:dyDescent="0.2">
      <c r="I113" t="s">
        <v>97</v>
      </c>
    </row>
    <row r="114" spans="9:9" x14ac:dyDescent="0.2">
      <c r="I114" t="s">
        <v>104</v>
      </c>
    </row>
    <row r="115" spans="9:9" x14ac:dyDescent="0.2">
      <c r="I115" t="s">
        <v>95</v>
      </c>
    </row>
    <row r="116" spans="9:9" x14ac:dyDescent="0.2">
      <c r="I116" t="s">
        <v>112</v>
      </c>
    </row>
    <row r="117" spans="9:9" x14ac:dyDescent="0.2">
      <c r="I117" t="s">
        <v>111</v>
      </c>
    </row>
    <row r="118" spans="9:9" x14ac:dyDescent="0.2">
      <c r="I118" t="s">
        <v>95</v>
      </c>
    </row>
    <row r="119" spans="9:9" x14ac:dyDescent="0.2">
      <c r="I119" t="s">
        <v>86</v>
      </c>
    </row>
    <row r="120" spans="9:9" x14ac:dyDescent="0.2">
      <c r="I120" t="s">
        <v>104</v>
      </c>
    </row>
    <row r="121" spans="9:9" x14ac:dyDescent="0.2">
      <c r="I121" t="s">
        <v>113</v>
      </c>
    </row>
    <row r="122" spans="9:9" x14ac:dyDescent="0.2">
      <c r="I122" t="s">
        <v>114</v>
      </c>
    </row>
    <row r="123" spans="9:9" x14ac:dyDescent="0.2">
      <c r="I123" t="s">
        <v>111</v>
      </c>
    </row>
    <row r="124" spans="9:9" x14ac:dyDescent="0.2">
      <c r="I124" t="s">
        <v>95</v>
      </c>
    </row>
    <row r="125" spans="9:9" x14ac:dyDescent="0.2">
      <c r="I125" t="s">
        <v>54</v>
      </c>
    </row>
    <row r="126" spans="9:9" x14ac:dyDescent="0.2">
      <c r="I126" t="s">
        <v>80</v>
      </c>
    </row>
    <row r="127" spans="9:9" x14ac:dyDescent="0.2">
      <c r="I127" t="s">
        <v>81</v>
      </c>
    </row>
    <row r="128" spans="9:9" x14ac:dyDescent="0.2">
      <c r="I128" t="s">
        <v>70</v>
      </c>
    </row>
    <row r="129" spans="9:9" x14ac:dyDescent="0.2">
      <c r="I129" t="s">
        <v>110</v>
      </c>
    </row>
    <row r="130" spans="9:9" x14ac:dyDescent="0.2">
      <c r="I130" t="s">
        <v>104</v>
      </c>
    </row>
    <row r="131" spans="9:9" x14ac:dyDescent="0.2">
      <c r="I131" t="s">
        <v>108</v>
      </c>
    </row>
    <row r="132" spans="9:9" x14ac:dyDescent="0.2">
      <c r="I132" t="s">
        <v>113</v>
      </c>
    </row>
    <row r="133" spans="9:9" x14ac:dyDescent="0.2">
      <c r="I133" t="s">
        <v>70</v>
      </c>
    </row>
    <row r="134" spans="9:9" x14ac:dyDescent="0.2">
      <c r="I134" t="s">
        <v>93</v>
      </c>
    </row>
    <row r="135" spans="9:9" x14ac:dyDescent="0.2">
      <c r="I135" t="s">
        <v>108</v>
      </c>
    </row>
    <row r="136" spans="9:9" x14ac:dyDescent="0.2">
      <c r="I136" t="s">
        <v>58</v>
      </c>
    </row>
    <row r="137" spans="9:9" x14ac:dyDescent="0.2">
      <c r="I137" t="s">
        <v>70</v>
      </c>
    </row>
    <row r="138" spans="9:9" x14ac:dyDescent="0.2">
      <c r="I138" t="s">
        <v>110</v>
      </c>
    </row>
    <row r="139" spans="9:9" x14ac:dyDescent="0.2">
      <c r="I139" t="s">
        <v>70</v>
      </c>
    </row>
    <row r="140" spans="9:9" x14ac:dyDescent="0.2">
      <c r="I140" t="s">
        <v>88</v>
      </c>
    </row>
    <row r="141" spans="9:9" x14ac:dyDescent="0.2">
      <c r="I141" t="s">
        <v>86</v>
      </c>
    </row>
    <row r="142" spans="9:9" x14ac:dyDescent="0.2">
      <c r="I142" t="s">
        <v>108</v>
      </c>
    </row>
    <row r="143" spans="9:9" x14ac:dyDescent="0.2">
      <c r="I143" t="s">
        <v>67</v>
      </c>
    </row>
    <row r="144" spans="9:9" x14ac:dyDescent="0.2">
      <c r="I144" t="s">
        <v>71</v>
      </c>
    </row>
    <row r="145" spans="9:9" x14ac:dyDescent="0.2">
      <c r="I145" t="s">
        <v>78</v>
      </c>
    </row>
    <row r="146" spans="9:9" x14ac:dyDescent="0.2">
      <c r="I146" t="s">
        <v>106</v>
      </c>
    </row>
    <row r="147" spans="9:9" x14ac:dyDescent="0.2">
      <c r="I147" t="s">
        <v>108</v>
      </c>
    </row>
    <row r="148" spans="9:9" x14ac:dyDescent="0.2">
      <c r="I148" t="s">
        <v>75</v>
      </c>
    </row>
    <row r="149" spans="9:9" x14ac:dyDescent="0.2">
      <c r="I149" t="s">
        <v>111</v>
      </c>
    </row>
    <row r="150" spans="9:9" x14ac:dyDescent="0.2">
      <c r="I150"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Sheet1</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Gentle Bee</dc:creator>
  <cp:lastModifiedBy>Olamikun badmus</cp:lastModifiedBy>
  <cp:lastPrinted>2025-07-31T19:07:22Z</cp:lastPrinted>
  <dcterms:created xsi:type="dcterms:W3CDTF">2025-07-16T21:37:14Z</dcterms:created>
  <dcterms:modified xsi:type="dcterms:W3CDTF">2025-07-31T19:08:58Z</dcterms:modified>
</cp:coreProperties>
</file>